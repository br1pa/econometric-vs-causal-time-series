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brunopetrungaro/Documents/Queen Mary University of London/Investigating the potential causes of infection decrease during the COVID-19 pandemic/"/>
    </mc:Choice>
  </mc:AlternateContent>
  <xr:revisionPtr revIDLastSave="0" documentId="13_ncr:1_{43CBC074-7DA8-4D45-9CDA-EDACE1BC04A7}" xr6:coauthVersionLast="47" xr6:coauthVersionMax="47" xr10:uidLastSave="{00000000-0000-0000-0000-000000000000}"/>
  <bookViews>
    <workbookView xWindow="0" yWindow="760" windowWidth="34560" windowHeight="2010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65" i="1" l="1"/>
  <c r="B866" i="1" s="1"/>
  <c r="B867" i="1" s="1"/>
  <c r="B858" i="1"/>
  <c r="B859" i="1" s="1"/>
  <c r="B860" i="1" s="1"/>
  <c r="B861" i="1" s="1"/>
  <c r="B862" i="1" s="1"/>
  <c r="B863" i="1" s="1"/>
  <c r="B851" i="1"/>
  <c r="B852" i="1" s="1"/>
  <c r="B853" i="1" s="1"/>
  <c r="B854" i="1" s="1"/>
  <c r="B855" i="1" s="1"/>
  <c r="B856" i="1" s="1"/>
  <c r="B844" i="1"/>
  <c r="B845" i="1" s="1"/>
  <c r="B846" i="1" s="1"/>
  <c r="B847" i="1" s="1"/>
  <c r="B848" i="1" s="1"/>
  <c r="B849" i="1" s="1"/>
  <c r="B837" i="1"/>
  <c r="B838" i="1" s="1"/>
  <c r="B839" i="1" s="1"/>
  <c r="B840" i="1" s="1"/>
  <c r="B841" i="1" s="1"/>
  <c r="B842" i="1" s="1"/>
  <c r="B830" i="1"/>
  <c r="B831" i="1" s="1"/>
  <c r="B832" i="1" s="1"/>
  <c r="B833" i="1" s="1"/>
  <c r="B834" i="1" s="1"/>
  <c r="B835" i="1" s="1"/>
  <c r="B823" i="1"/>
  <c r="B824" i="1" s="1"/>
  <c r="B825" i="1" s="1"/>
  <c r="B826" i="1" s="1"/>
  <c r="B827" i="1" s="1"/>
  <c r="B828" i="1" s="1"/>
  <c r="B816" i="1"/>
  <c r="B817" i="1" s="1"/>
  <c r="B818" i="1" s="1"/>
  <c r="B819" i="1" s="1"/>
  <c r="B820" i="1" s="1"/>
  <c r="B821" i="1" s="1"/>
  <c r="B809" i="1"/>
  <c r="B810" i="1" s="1"/>
  <c r="B811" i="1" s="1"/>
  <c r="B812" i="1" s="1"/>
  <c r="B813" i="1" s="1"/>
  <c r="B814" i="1" s="1"/>
  <c r="B802" i="1"/>
  <c r="B803" i="1" s="1"/>
  <c r="B804" i="1" s="1"/>
  <c r="B805" i="1" s="1"/>
  <c r="B806" i="1" s="1"/>
  <c r="B807" i="1" s="1"/>
  <c r="B795" i="1"/>
  <c r="B796" i="1" s="1"/>
  <c r="B797" i="1" s="1"/>
  <c r="B798" i="1" s="1"/>
  <c r="B799" i="1" s="1"/>
  <c r="B800" i="1" s="1"/>
  <c r="B788" i="1"/>
  <c r="B789" i="1" s="1"/>
  <c r="B790" i="1" s="1"/>
  <c r="B791" i="1" s="1"/>
  <c r="B792" i="1" s="1"/>
  <c r="B793" i="1" s="1"/>
  <c r="B781" i="1"/>
  <c r="B782" i="1" s="1"/>
  <c r="B783" i="1" s="1"/>
  <c r="B784" i="1" s="1"/>
  <c r="B785" i="1" s="1"/>
  <c r="B786" i="1" s="1"/>
  <c r="B774" i="1"/>
  <c r="B775" i="1" s="1"/>
  <c r="B776" i="1" s="1"/>
  <c r="B777" i="1" s="1"/>
  <c r="B778" i="1" s="1"/>
  <c r="B779" i="1" s="1"/>
  <c r="B767" i="1"/>
  <c r="B768" i="1" s="1"/>
  <c r="B769" i="1" s="1"/>
  <c r="B770" i="1" s="1"/>
  <c r="B771" i="1" s="1"/>
  <c r="B772" i="1" s="1"/>
  <c r="B760" i="1"/>
  <c r="B761" i="1" s="1"/>
  <c r="B762" i="1" s="1"/>
  <c r="B763" i="1" s="1"/>
  <c r="B764" i="1" s="1"/>
  <c r="B765" i="1" s="1"/>
  <c r="B753" i="1"/>
  <c r="B754" i="1" s="1"/>
  <c r="B755" i="1" s="1"/>
  <c r="B756" i="1" s="1"/>
  <c r="B757" i="1" s="1"/>
  <c r="B758" i="1" s="1"/>
  <c r="B746" i="1"/>
  <c r="B747" i="1" s="1"/>
  <c r="B748" i="1" s="1"/>
  <c r="B749" i="1" s="1"/>
  <c r="B750" i="1" s="1"/>
  <c r="B751" i="1" s="1"/>
  <c r="B739" i="1"/>
  <c r="B740" i="1" s="1"/>
  <c r="B741" i="1" s="1"/>
  <c r="B742" i="1" s="1"/>
  <c r="B743" i="1" s="1"/>
  <c r="B744" i="1" s="1"/>
  <c r="B732" i="1"/>
  <c r="B733" i="1" s="1"/>
  <c r="B734" i="1" s="1"/>
  <c r="B735" i="1" s="1"/>
  <c r="B736" i="1" s="1"/>
  <c r="B737" i="1" s="1"/>
  <c r="B725" i="1"/>
  <c r="B726" i="1" s="1"/>
  <c r="B727" i="1" s="1"/>
  <c r="B728" i="1" s="1"/>
  <c r="B729" i="1" s="1"/>
  <c r="B730" i="1" s="1"/>
  <c r="B718" i="1"/>
  <c r="B719" i="1" s="1"/>
  <c r="B720" i="1" s="1"/>
  <c r="B721" i="1" s="1"/>
  <c r="B722" i="1" s="1"/>
  <c r="B723" i="1" s="1"/>
  <c r="B711" i="1"/>
  <c r="B712" i="1" s="1"/>
  <c r="B713" i="1" s="1"/>
  <c r="B714" i="1" s="1"/>
  <c r="B715" i="1" s="1"/>
  <c r="B716" i="1" s="1"/>
  <c r="B704" i="1"/>
  <c r="B705" i="1" s="1"/>
  <c r="B706" i="1" s="1"/>
  <c r="B707" i="1" s="1"/>
  <c r="B708" i="1" s="1"/>
  <c r="B709" i="1" s="1"/>
  <c r="B697" i="1"/>
  <c r="B698" i="1" s="1"/>
  <c r="B699" i="1" s="1"/>
  <c r="B700" i="1" s="1"/>
  <c r="B701" i="1" s="1"/>
  <c r="B702" i="1" s="1"/>
  <c r="B690" i="1"/>
  <c r="B691" i="1" s="1"/>
  <c r="B692" i="1" s="1"/>
  <c r="B693" i="1" s="1"/>
  <c r="B694" i="1" s="1"/>
  <c r="B695" i="1" s="1"/>
  <c r="B683" i="1"/>
  <c r="B684" i="1" s="1"/>
  <c r="B685" i="1" s="1"/>
  <c r="B686" i="1" s="1"/>
  <c r="B687" i="1" s="1"/>
  <c r="B688" i="1" s="1"/>
  <c r="B676" i="1"/>
  <c r="B677" i="1" s="1"/>
  <c r="B678" i="1" s="1"/>
  <c r="B679" i="1" s="1"/>
  <c r="B680" i="1" s="1"/>
  <c r="B681" i="1" s="1"/>
  <c r="B669" i="1"/>
  <c r="B670" i="1" s="1"/>
  <c r="B671" i="1" s="1"/>
  <c r="B672" i="1" s="1"/>
  <c r="B673" i="1" s="1"/>
  <c r="B674" i="1" s="1"/>
  <c r="B662" i="1"/>
  <c r="B663" i="1" s="1"/>
  <c r="B664" i="1" s="1"/>
  <c r="B665" i="1" s="1"/>
  <c r="B666" i="1" s="1"/>
  <c r="B667" i="1" s="1"/>
  <c r="B655" i="1"/>
  <c r="B656" i="1" s="1"/>
  <c r="B657" i="1" s="1"/>
  <c r="B658" i="1" s="1"/>
  <c r="B659" i="1" s="1"/>
  <c r="B660" i="1" s="1"/>
  <c r="B648" i="1"/>
  <c r="B649" i="1" s="1"/>
  <c r="B650" i="1" s="1"/>
  <c r="B651" i="1" s="1"/>
  <c r="B652" i="1" s="1"/>
  <c r="B653" i="1" s="1"/>
  <c r="B641" i="1"/>
  <c r="B642" i="1" s="1"/>
  <c r="B643" i="1" s="1"/>
  <c r="B644" i="1" s="1"/>
  <c r="B645" i="1" s="1"/>
  <c r="B646" i="1" s="1"/>
  <c r="B634" i="1"/>
  <c r="B635" i="1" s="1"/>
  <c r="B636" i="1" s="1"/>
  <c r="B637" i="1" s="1"/>
  <c r="B638" i="1" s="1"/>
  <c r="B639" i="1" s="1"/>
  <c r="B627" i="1"/>
  <c r="B628" i="1" s="1"/>
  <c r="B629" i="1" s="1"/>
  <c r="B630" i="1" s="1"/>
  <c r="B631" i="1" s="1"/>
  <c r="B632" i="1" s="1"/>
  <c r="B620" i="1"/>
  <c r="B621" i="1" s="1"/>
  <c r="B622" i="1" s="1"/>
  <c r="B623" i="1" s="1"/>
  <c r="B624" i="1" s="1"/>
  <c r="B625" i="1" s="1"/>
  <c r="B613" i="1"/>
  <c r="B614" i="1" s="1"/>
  <c r="B615" i="1" s="1"/>
  <c r="B616" i="1" s="1"/>
  <c r="B617" i="1" s="1"/>
  <c r="B618" i="1" s="1"/>
  <c r="B606" i="1"/>
  <c r="B607" i="1" s="1"/>
  <c r="B608" i="1" s="1"/>
  <c r="B609" i="1" s="1"/>
  <c r="B610" i="1" s="1"/>
  <c r="B611" i="1" s="1"/>
  <c r="B599" i="1"/>
  <c r="B600" i="1" s="1"/>
  <c r="B601" i="1" s="1"/>
  <c r="B602" i="1" s="1"/>
  <c r="B603" i="1" s="1"/>
  <c r="B604" i="1" s="1"/>
  <c r="B592" i="1"/>
  <c r="B593" i="1" s="1"/>
  <c r="B594" i="1" s="1"/>
  <c r="B595" i="1" s="1"/>
  <c r="B596" i="1" s="1"/>
  <c r="B597" i="1" s="1"/>
  <c r="B585" i="1"/>
  <c r="B586" i="1" s="1"/>
  <c r="B587" i="1" s="1"/>
  <c r="B588" i="1" s="1"/>
  <c r="B589" i="1" s="1"/>
  <c r="B590" i="1" s="1"/>
  <c r="B578" i="1"/>
  <c r="B579" i="1" s="1"/>
  <c r="B580" i="1" s="1"/>
  <c r="B581" i="1" s="1"/>
  <c r="B582" i="1" s="1"/>
  <c r="B583" i="1" s="1"/>
  <c r="B571" i="1"/>
  <c r="B572" i="1" s="1"/>
  <c r="B573" i="1" s="1"/>
  <c r="B574" i="1" s="1"/>
  <c r="B575" i="1" s="1"/>
  <c r="B576" i="1" s="1"/>
  <c r="B564" i="1"/>
  <c r="B565" i="1" s="1"/>
  <c r="B566" i="1" s="1"/>
  <c r="B567" i="1" s="1"/>
  <c r="B568" i="1" s="1"/>
  <c r="B569" i="1" s="1"/>
  <c r="B557" i="1"/>
  <c r="B558" i="1" s="1"/>
  <c r="B559" i="1" s="1"/>
  <c r="B560" i="1" s="1"/>
  <c r="B561" i="1" s="1"/>
  <c r="B562" i="1" s="1"/>
  <c r="B550" i="1"/>
  <c r="B551" i="1" s="1"/>
  <c r="B552" i="1" s="1"/>
  <c r="B553" i="1" s="1"/>
  <c r="B554" i="1" s="1"/>
  <c r="B555" i="1" s="1"/>
  <c r="B543" i="1"/>
  <c r="B544" i="1" s="1"/>
  <c r="B545" i="1" s="1"/>
  <c r="B546" i="1" s="1"/>
  <c r="B547" i="1" s="1"/>
  <c r="B548" i="1" s="1"/>
  <c r="B536" i="1"/>
  <c r="B537" i="1" s="1"/>
  <c r="B538" i="1" s="1"/>
  <c r="B539" i="1" s="1"/>
  <c r="B540" i="1" s="1"/>
  <c r="B541" i="1" s="1"/>
  <c r="B529" i="1"/>
  <c r="B530" i="1" s="1"/>
  <c r="B531" i="1" s="1"/>
  <c r="B532" i="1" s="1"/>
  <c r="B533" i="1" s="1"/>
  <c r="B534" i="1" s="1"/>
  <c r="B522" i="1"/>
  <c r="B523" i="1" s="1"/>
  <c r="B524" i="1" s="1"/>
  <c r="B525" i="1" s="1"/>
  <c r="B526" i="1" s="1"/>
  <c r="B527" i="1" s="1"/>
  <c r="B515" i="1"/>
  <c r="B516" i="1" s="1"/>
  <c r="B517" i="1" s="1"/>
  <c r="B518" i="1" s="1"/>
  <c r="B519" i="1" s="1"/>
  <c r="B520" i="1" s="1"/>
  <c r="B508" i="1"/>
  <c r="B509" i="1" s="1"/>
  <c r="B510" i="1" s="1"/>
  <c r="B511" i="1" s="1"/>
  <c r="B512" i="1" s="1"/>
  <c r="B513" i="1" s="1"/>
  <c r="B501" i="1"/>
  <c r="B502" i="1" s="1"/>
  <c r="B503" i="1" s="1"/>
  <c r="B504" i="1" s="1"/>
  <c r="B505" i="1" s="1"/>
  <c r="B506" i="1" s="1"/>
  <c r="B494" i="1"/>
  <c r="B495" i="1" s="1"/>
  <c r="B496" i="1" s="1"/>
  <c r="B497" i="1" s="1"/>
  <c r="B498" i="1" s="1"/>
  <c r="B499" i="1" s="1"/>
  <c r="B487" i="1"/>
  <c r="B488" i="1" s="1"/>
  <c r="B489" i="1" s="1"/>
  <c r="B490" i="1" s="1"/>
  <c r="B491" i="1" s="1"/>
  <c r="B492" i="1" s="1"/>
  <c r="B480" i="1"/>
  <c r="B481" i="1" s="1"/>
  <c r="B482" i="1" s="1"/>
  <c r="B483" i="1" s="1"/>
  <c r="B484" i="1" s="1"/>
  <c r="B485" i="1" s="1"/>
  <c r="B473" i="1"/>
  <c r="B474" i="1" s="1"/>
  <c r="B475" i="1" s="1"/>
  <c r="B476" i="1" s="1"/>
  <c r="B477" i="1" s="1"/>
  <c r="B478" i="1" s="1"/>
  <c r="B466" i="1"/>
  <c r="B467" i="1" s="1"/>
  <c r="B468" i="1" s="1"/>
  <c r="B469" i="1" s="1"/>
  <c r="B470" i="1" s="1"/>
  <c r="B471" i="1" s="1"/>
  <c r="B459" i="1"/>
  <c r="B460" i="1" s="1"/>
  <c r="B461" i="1" s="1"/>
  <c r="B462" i="1" s="1"/>
  <c r="B463" i="1" s="1"/>
  <c r="B464" i="1" s="1"/>
  <c r="B452" i="1"/>
  <c r="B453" i="1" s="1"/>
  <c r="B454" i="1" s="1"/>
  <c r="B455" i="1" s="1"/>
  <c r="B456" i="1" s="1"/>
  <c r="B457" i="1" s="1"/>
  <c r="B445" i="1"/>
  <c r="B446" i="1" s="1"/>
  <c r="B447" i="1" s="1"/>
  <c r="B448" i="1" s="1"/>
  <c r="B449" i="1" s="1"/>
  <c r="B450" i="1" s="1"/>
  <c r="B438" i="1"/>
  <c r="B439" i="1" s="1"/>
  <c r="B440" i="1" s="1"/>
  <c r="B441" i="1" s="1"/>
  <c r="B442" i="1" s="1"/>
  <c r="B443" i="1" s="1"/>
  <c r="B431" i="1"/>
  <c r="B432" i="1" s="1"/>
  <c r="B433" i="1" s="1"/>
  <c r="B434" i="1" s="1"/>
  <c r="B435" i="1" s="1"/>
  <c r="B436" i="1" s="1"/>
  <c r="B424" i="1"/>
  <c r="B425" i="1" s="1"/>
  <c r="B426" i="1" s="1"/>
  <c r="B427" i="1" s="1"/>
  <c r="B428" i="1" s="1"/>
  <c r="B429" i="1" s="1"/>
  <c r="B417" i="1"/>
  <c r="B418" i="1" s="1"/>
  <c r="B419" i="1" s="1"/>
  <c r="B420" i="1" s="1"/>
  <c r="B421" i="1" s="1"/>
  <c r="B422" i="1" s="1"/>
  <c r="B410" i="1"/>
  <c r="B411" i="1" s="1"/>
  <c r="B412" i="1" s="1"/>
  <c r="B413" i="1" s="1"/>
  <c r="B414" i="1" s="1"/>
  <c r="B415" i="1" s="1"/>
  <c r="B403" i="1"/>
  <c r="B404" i="1" s="1"/>
  <c r="B405" i="1" s="1"/>
  <c r="B406" i="1" s="1"/>
  <c r="B407" i="1" s="1"/>
  <c r="B408" i="1" s="1"/>
  <c r="B396" i="1"/>
  <c r="B397" i="1" s="1"/>
  <c r="B398" i="1" s="1"/>
  <c r="B399" i="1" s="1"/>
  <c r="B400" i="1" s="1"/>
  <c r="B401" i="1" s="1"/>
  <c r="B389" i="1"/>
  <c r="B390" i="1" s="1"/>
  <c r="B391" i="1" s="1"/>
  <c r="B392" i="1" s="1"/>
  <c r="B393" i="1" s="1"/>
  <c r="B394" i="1" s="1"/>
  <c r="B382" i="1"/>
  <c r="B383" i="1" s="1"/>
  <c r="B384" i="1" s="1"/>
  <c r="B385" i="1" s="1"/>
  <c r="B386" i="1" s="1"/>
  <c r="B387" i="1" s="1"/>
  <c r="B375" i="1"/>
  <c r="B376" i="1" s="1"/>
  <c r="B377" i="1" s="1"/>
  <c r="B378" i="1" s="1"/>
  <c r="B379" i="1" s="1"/>
  <c r="B380" i="1" s="1"/>
  <c r="B368" i="1"/>
  <c r="B369" i="1" s="1"/>
  <c r="B370" i="1" s="1"/>
  <c r="B371" i="1" s="1"/>
  <c r="B372" i="1" s="1"/>
  <c r="B373" i="1" s="1"/>
  <c r="B361" i="1"/>
  <c r="B362" i="1" s="1"/>
  <c r="B363" i="1" s="1"/>
  <c r="B364" i="1" s="1"/>
  <c r="B365" i="1" s="1"/>
  <c r="B366" i="1" s="1"/>
  <c r="B354" i="1"/>
  <c r="B355" i="1" s="1"/>
  <c r="B356" i="1" s="1"/>
  <c r="B357" i="1" s="1"/>
  <c r="B358" i="1" s="1"/>
  <c r="B359" i="1" s="1"/>
  <c r="B347" i="1"/>
  <c r="B348" i="1" s="1"/>
  <c r="B349" i="1" s="1"/>
  <c r="B350" i="1" s="1"/>
  <c r="B351" i="1" s="1"/>
  <c r="B352" i="1" s="1"/>
  <c r="B340" i="1"/>
  <c r="B341" i="1" s="1"/>
  <c r="B342" i="1" s="1"/>
  <c r="B343" i="1" s="1"/>
  <c r="B344" i="1" s="1"/>
  <c r="B345" i="1" s="1"/>
  <c r="B333" i="1"/>
  <c r="B334" i="1" s="1"/>
  <c r="B335" i="1" s="1"/>
  <c r="B336" i="1" s="1"/>
  <c r="B337" i="1" s="1"/>
  <c r="B338" i="1" s="1"/>
  <c r="B326" i="1"/>
  <c r="B327" i="1" s="1"/>
  <c r="B328" i="1" s="1"/>
  <c r="B329" i="1" s="1"/>
  <c r="B330" i="1" s="1"/>
  <c r="B331" i="1" s="1"/>
  <c r="B319" i="1"/>
  <c r="B320" i="1" s="1"/>
  <c r="B321" i="1" s="1"/>
  <c r="B322" i="1" s="1"/>
  <c r="B323" i="1" s="1"/>
  <c r="B324" i="1" s="1"/>
  <c r="B312" i="1"/>
  <c r="B313" i="1" s="1"/>
  <c r="B314" i="1" s="1"/>
  <c r="B315" i="1" s="1"/>
  <c r="B316" i="1" s="1"/>
  <c r="B317" i="1" s="1"/>
  <c r="B305" i="1"/>
  <c r="B306" i="1" s="1"/>
  <c r="B307" i="1" s="1"/>
  <c r="B308" i="1" s="1"/>
  <c r="B309" i="1" s="1"/>
  <c r="B310" i="1" s="1"/>
  <c r="B298" i="1"/>
  <c r="B299" i="1" s="1"/>
  <c r="B300" i="1" s="1"/>
  <c r="B301" i="1" s="1"/>
  <c r="B302" i="1" s="1"/>
  <c r="B303" i="1" s="1"/>
  <c r="B291" i="1"/>
  <c r="B292" i="1" s="1"/>
  <c r="B293" i="1" s="1"/>
  <c r="B294" i="1" s="1"/>
  <c r="B295" i="1" s="1"/>
  <c r="B296" i="1" s="1"/>
  <c r="B284" i="1"/>
  <c r="B285" i="1" s="1"/>
  <c r="B286" i="1" s="1"/>
  <c r="B287" i="1" s="1"/>
  <c r="B288" i="1" s="1"/>
  <c r="B289" i="1" s="1"/>
  <c r="B277" i="1"/>
  <c r="B278" i="1" s="1"/>
  <c r="B279" i="1" s="1"/>
  <c r="B280" i="1" s="1"/>
  <c r="B281" i="1" s="1"/>
  <c r="B282" i="1" s="1"/>
  <c r="B270" i="1"/>
  <c r="B271" i="1" s="1"/>
  <c r="B272" i="1" s="1"/>
  <c r="B273" i="1" s="1"/>
  <c r="B274" i="1" s="1"/>
  <c r="B275" i="1" s="1"/>
  <c r="B263" i="1"/>
  <c r="B264" i="1" s="1"/>
  <c r="B265" i="1" s="1"/>
  <c r="B266" i="1" s="1"/>
  <c r="B267" i="1" s="1"/>
  <c r="B268" i="1" s="1"/>
  <c r="B256" i="1"/>
  <c r="B257" i="1" s="1"/>
  <c r="B258" i="1" s="1"/>
  <c r="B259" i="1" s="1"/>
  <c r="B260" i="1" s="1"/>
  <c r="B261" i="1" s="1"/>
  <c r="B249" i="1"/>
  <c r="B250" i="1" s="1"/>
  <c r="B251" i="1" s="1"/>
  <c r="B252" i="1" s="1"/>
  <c r="B253" i="1" s="1"/>
  <c r="B254" i="1" s="1"/>
  <c r="B242" i="1"/>
  <c r="B243" i="1" s="1"/>
  <c r="B244" i="1" s="1"/>
  <c r="B245" i="1" s="1"/>
  <c r="B246" i="1" s="1"/>
  <c r="B247" i="1" s="1"/>
  <c r="B235" i="1"/>
  <c r="B236" i="1" s="1"/>
  <c r="B237" i="1" s="1"/>
  <c r="B238" i="1" s="1"/>
  <c r="B239" i="1" s="1"/>
  <c r="B240" i="1" s="1"/>
  <c r="B228" i="1"/>
  <c r="B229" i="1" s="1"/>
  <c r="B230" i="1" s="1"/>
  <c r="B231" i="1" s="1"/>
  <c r="B232" i="1" s="1"/>
  <c r="B233" i="1" s="1"/>
  <c r="B221" i="1"/>
  <c r="B222" i="1" s="1"/>
  <c r="B223" i="1" s="1"/>
  <c r="B224" i="1" s="1"/>
  <c r="B225" i="1" s="1"/>
  <c r="B226" i="1" s="1"/>
  <c r="B214" i="1"/>
  <c r="B215" i="1" s="1"/>
  <c r="B216" i="1" s="1"/>
  <c r="B217" i="1" s="1"/>
  <c r="B218" i="1" s="1"/>
  <c r="B219" i="1" s="1"/>
  <c r="B207" i="1"/>
  <c r="B208" i="1" s="1"/>
  <c r="B209" i="1" s="1"/>
  <c r="B210" i="1" s="1"/>
  <c r="B211" i="1" s="1"/>
  <c r="B212" i="1" s="1"/>
  <c r="B200" i="1"/>
  <c r="B201" i="1" s="1"/>
  <c r="B202" i="1" s="1"/>
  <c r="B203" i="1" s="1"/>
  <c r="B204" i="1" s="1"/>
  <c r="B205" i="1" s="1"/>
  <c r="B193" i="1"/>
  <c r="B194" i="1" s="1"/>
  <c r="B195" i="1" s="1"/>
  <c r="B196" i="1" s="1"/>
  <c r="B197" i="1" s="1"/>
  <c r="B198" i="1" s="1"/>
  <c r="B186" i="1"/>
  <c r="B187" i="1" s="1"/>
  <c r="B188" i="1" s="1"/>
  <c r="B189" i="1" s="1"/>
  <c r="B190" i="1" s="1"/>
  <c r="B191" i="1" s="1"/>
  <c r="B179" i="1"/>
  <c r="B180" i="1" s="1"/>
  <c r="B181" i="1" s="1"/>
  <c r="B182" i="1" s="1"/>
  <c r="B183" i="1" s="1"/>
  <c r="B184" i="1" s="1"/>
  <c r="B172" i="1"/>
  <c r="B173" i="1" s="1"/>
  <c r="B174" i="1" s="1"/>
  <c r="B175" i="1" s="1"/>
  <c r="B176" i="1" s="1"/>
  <c r="B177" i="1" s="1"/>
  <c r="B165" i="1"/>
  <c r="B166" i="1" s="1"/>
  <c r="B167" i="1" s="1"/>
  <c r="B168" i="1" s="1"/>
  <c r="B169" i="1" s="1"/>
  <c r="B170" i="1" s="1"/>
  <c r="B158" i="1"/>
  <c r="B159" i="1" s="1"/>
  <c r="B160" i="1" s="1"/>
  <c r="B161" i="1" s="1"/>
  <c r="B162" i="1" s="1"/>
  <c r="B163" i="1" s="1"/>
  <c r="B151" i="1"/>
  <c r="B152" i="1" s="1"/>
  <c r="B153" i="1" s="1"/>
  <c r="B154" i="1" s="1"/>
  <c r="B155" i="1" s="1"/>
  <c r="B156" i="1" s="1"/>
  <c r="B144" i="1"/>
  <c r="B145" i="1" s="1"/>
  <c r="B146" i="1" s="1"/>
  <c r="B147" i="1" s="1"/>
  <c r="B148" i="1" s="1"/>
  <c r="B149" i="1" s="1"/>
  <c r="B137" i="1"/>
  <c r="B138" i="1" s="1"/>
  <c r="B139" i="1" s="1"/>
  <c r="B140" i="1" s="1"/>
  <c r="B141" i="1" s="1"/>
  <c r="B142" i="1" s="1"/>
  <c r="B130" i="1"/>
  <c r="B131" i="1" s="1"/>
  <c r="B132" i="1" s="1"/>
  <c r="B133" i="1" s="1"/>
  <c r="B134" i="1" s="1"/>
  <c r="B135" i="1" s="1"/>
  <c r="B123" i="1"/>
  <c r="B124" i="1" s="1"/>
  <c r="B125" i="1" s="1"/>
  <c r="B126" i="1" s="1"/>
  <c r="B127" i="1" s="1"/>
  <c r="B128" i="1" s="1"/>
  <c r="B116" i="1"/>
  <c r="B117" i="1" s="1"/>
  <c r="B118" i="1" s="1"/>
  <c r="B119" i="1" s="1"/>
  <c r="B120" i="1" s="1"/>
  <c r="B121" i="1" s="1"/>
  <c r="B109" i="1"/>
  <c r="B110" i="1" s="1"/>
  <c r="B111" i="1" s="1"/>
  <c r="B112" i="1" s="1"/>
  <c r="B113" i="1" s="1"/>
  <c r="B114" i="1" s="1"/>
  <c r="B102" i="1"/>
  <c r="B103" i="1" s="1"/>
  <c r="B104" i="1" s="1"/>
  <c r="B105" i="1" s="1"/>
  <c r="B106" i="1" s="1"/>
  <c r="B107" i="1" s="1"/>
  <c r="B95" i="1"/>
  <c r="B96" i="1" s="1"/>
  <c r="B97" i="1" s="1"/>
  <c r="B98" i="1" s="1"/>
  <c r="B99" i="1" s="1"/>
  <c r="B100" i="1" s="1"/>
  <c r="B88" i="1"/>
  <c r="B89" i="1" s="1"/>
  <c r="B90" i="1" s="1"/>
  <c r="B91" i="1" s="1"/>
  <c r="B92" i="1" s="1"/>
  <c r="B93" i="1" s="1"/>
  <c r="B81" i="1"/>
  <c r="B82" i="1" s="1"/>
  <c r="B83" i="1" s="1"/>
  <c r="B84" i="1" s="1"/>
  <c r="B85" i="1" s="1"/>
  <c r="B86" i="1" s="1"/>
  <c r="B74" i="1"/>
  <c r="B75" i="1" s="1"/>
  <c r="B76" i="1" s="1"/>
  <c r="B77" i="1" s="1"/>
  <c r="B78" i="1" s="1"/>
  <c r="B79" i="1" s="1"/>
  <c r="B67" i="1"/>
  <c r="B68" i="1" s="1"/>
  <c r="B69" i="1" s="1"/>
  <c r="B70" i="1" s="1"/>
  <c r="B71" i="1" s="1"/>
  <c r="B72" i="1" s="1"/>
  <c r="B60" i="1"/>
  <c r="B61" i="1" s="1"/>
  <c r="B62" i="1" s="1"/>
  <c r="B63" i="1" s="1"/>
  <c r="B64" i="1" s="1"/>
  <c r="B65" i="1" s="1"/>
  <c r="B53" i="1"/>
  <c r="B54" i="1" s="1"/>
  <c r="B55" i="1" s="1"/>
  <c r="B56" i="1" s="1"/>
  <c r="B57" i="1" s="1"/>
  <c r="B58" i="1" s="1"/>
  <c r="B46" i="1"/>
  <c r="B47" i="1" s="1"/>
  <c r="B48" i="1" s="1"/>
  <c r="B49" i="1" s="1"/>
  <c r="B50" i="1" s="1"/>
  <c r="B51" i="1" s="1"/>
  <c r="B39" i="1"/>
  <c r="B40" i="1" s="1"/>
  <c r="B41" i="1" s="1"/>
  <c r="B42" i="1" s="1"/>
  <c r="B43" i="1" s="1"/>
  <c r="B44" i="1" s="1"/>
  <c r="B32" i="1"/>
  <c r="B33" i="1" s="1"/>
  <c r="B34" i="1" s="1"/>
  <c r="B35" i="1" s="1"/>
  <c r="B36" i="1" s="1"/>
  <c r="B37" i="1" s="1"/>
  <c r="B25" i="1"/>
  <c r="B26" i="1" s="1"/>
  <c r="B27" i="1" s="1"/>
  <c r="B28" i="1" s="1"/>
  <c r="B29" i="1" s="1"/>
  <c r="B30" i="1" s="1"/>
  <c r="B18" i="1"/>
  <c r="B19" i="1" s="1"/>
  <c r="B20" i="1" s="1"/>
  <c r="B21" i="1" s="1"/>
  <c r="B22" i="1" s="1"/>
  <c r="B23" i="1" s="1"/>
  <c r="B11" i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<sst xmlns="http://schemas.openxmlformats.org/spreadsheetml/2006/main" count="4377" uniqueCount="70">
  <si>
    <t>date</t>
  </si>
  <si>
    <t>COVID-19 deaths on certificate</t>
  </si>
  <si>
    <t>Deaths within 28 days of COVID-19</t>
  </si>
  <si>
    <t>1st dose uptake</t>
  </si>
  <si>
    <t>2nd dose uptake</t>
  </si>
  <si>
    <t>3rd dose uptake</t>
  </si>
  <si>
    <t>Vaccinations (total)</t>
  </si>
  <si>
    <t>Vaccinations (1st dose)</t>
  </si>
  <si>
    <t>Vaccinations (2nd dose)</t>
  </si>
  <si>
    <t>Vaccinations (3rd dose)</t>
  </si>
  <si>
    <t>Hospital admissions</t>
  </si>
  <si>
    <t>Patients in hospital</t>
  </si>
  <si>
    <t>COVID-19 patients in MVBs</t>
  </si>
  <si>
    <t>New cases (specimen date)</t>
  </si>
  <si>
    <t>New infentions</t>
  </si>
  <si>
    <t>Reinfections</t>
  </si>
  <si>
    <t>New cases (specimen date 7-day change)</t>
  </si>
  <si>
    <t>New cases (specimen date 7-day % change)</t>
  </si>
  <si>
    <t>PCR tests</t>
  </si>
  <si>
    <t>Antibody tests</t>
  </si>
  <si>
    <t>Tests across all 4 Pillars</t>
  </si>
  <si>
    <t>PCR tests capacity</t>
  </si>
  <si>
    <t>Antibody tests capacity</t>
  </si>
  <si>
    <t>Pillar 1 (NHS and UKHSA) capacity</t>
  </si>
  <si>
    <t>Pillar 2 (UK Government) capacity</t>
  </si>
  <si>
    <t>Pillar 3 (Antibody) capacity</t>
  </si>
  <si>
    <t>Pillar 4 (Surveillance) capacity</t>
  </si>
  <si>
    <t>Pillar 1 (NHS and UKHSA) tests</t>
  </si>
  <si>
    <t>Pillar 2 (UK Government) tests</t>
  </si>
  <si>
    <t>Pillar 3 (Antibody) tests</t>
  </si>
  <si>
    <t>Pillar 4 (Surveillance) tests</t>
  </si>
  <si>
    <t>Season</t>
  </si>
  <si>
    <t>Summer</t>
  </si>
  <si>
    <t>Spring</t>
  </si>
  <si>
    <t>Winter</t>
  </si>
  <si>
    <t>Autumn</t>
  </si>
  <si>
    <t>Citymapper journeys mobility index</t>
  </si>
  <si>
    <t>TfL Bus mobility index</t>
  </si>
  <si>
    <t>TfL Tube mobility index</t>
  </si>
  <si>
    <t>Google transit stations mobility index</t>
  </si>
  <si>
    <t>OpenTable restaurant bookings (London) index</t>
  </si>
  <si>
    <t>Google retail &amp; recreation (Greater London) mobility index</t>
  </si>
  <si>
    <t>Google grocesy &amp; pharmacy (Greater London) mobility index</t>
  </si>
  <si>
    <t>Google parks (Greater London) mobility index</t>
  </si>
  <si>
    <t>Apple walking (London) mobility index</t>
  </si>
  <si>
    <t>NA</t>
  </si>
  <si>
    <t>Google workplace (Greater London) mobility index</t>
  </si>
  <si>
    <t>Google homeworking (Greater London) mobility index</t>
  </si>
  <si>
    <t>Delta</t>
  </si>
  <si>
    <t>Alpha</t>
  </si>
  <si>
    <t>Omicron</t>
  </si>
  <si>
    <t>Omicron BA.2</t>
  </si>
  <si>
    <t>Majority COVID-19 variant [before 12/05 used https://ourworldindata.org/covid-vaccinations with 'VARIANTS' as metric]</t>
  </si>
  <si>
    <t>Initial</t>
  </si>
  <si>
    <t>Flights (7-day moving average)</t>
  </si>
  <si>
    <t>Schools</t>
  </si>
  <si>
    <t>Excess mortality</t>
  </si>
  <si>
    <t>Open</t>
  </si>
  <si>
    <t>Closed</t>
  </si>
  <si>
    <t>Partially open</t>
  </si>
  <si>
    <t>Face masks</t>
  </si>
  <si>
    <t>No</t>
  </si>
  <si>
    <t>Yes</t>
  </si>
  <si>
    <t>Optional</t>
  </si>
  <si>
    <t>Lockdown severity</t>
  </si>
  <si>
    <t>Social_distancing</t>
  </si>
  <si>
    <t>Severe_lockdown</t>
  </si>
  <si>
    <t>Moderate_lockdown</t>
  </si>
  <si>
    <t>Weak_lockdown</t>
  </si>
  <si>
    <t>No_or_limited_measures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</si>
</sst>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2" borderId="0" xfId="1" applyAlignment="1">
      <alignment wrapText="1"/>
    </xf>
    <xf numFmtId="0" fontId="1" fillId="2" borderId="0" xfId="1"/>
    <xf numFmtId="0" fontId="2" fillId="3" borderId="0" xfId="2" applyAlignment="1">
      <alignment wrapText="1"/>
    </xf>
    <xf numFmtId="0" fontId="2" fillId="3" borderId="0" xfId="2"/>
    <xf numFmtId="14" fontId="2" fillId="3" borderId="0" xfId="2" applyNumberFormat="1"/>
    <xf numFmtId="14" fontId="1" fillId="2" borderId="0" xfId="1" applyNumberForma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67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4" width="12.5" customWidth="1"/>
    <col min="5" max="5" width="19" customWidth="1"/>
    <col min="6" max="6" width="20.5" customWidth="1"/>
    <col min="7" max="7" width="13.33203125" customWidth="1"/>
    <col min="8" max="18" width="12.5" style="4" customWidth="1"/>
    <col min="19" max="19" width="12.5" style="6" customWidth="1"/>
    <col min="20" max="20" width="8.83203125" style="4"/>
    <col min="21" max="21" width="8.6640625" style="4"/>
    <col min="22" max="22" width="8.83203125" style="4"/>
    <col min="23" max="23" width="8.6640625" style="4"/>
    <col min="24" max="32" width="8.83203125" style="4"/>
    <col min="33" max="37" width="8.83203125" style="6"/>
    <col min="38" max="40" width="8.83203125" style="4"/>
    <col min="41" max="47" width="8.83203125" style="6"/>
    <col min="48" max="49" width="8.6640625" style="4"/>
  </cols>
  <sheetData>
    <row r="1" spans="1:49" s="2" customFormat="1" ht="112" x14ac:dyDescent="0.2">
      <c r="A1" s="2" t="s">
        <v>0</v>
      </c>
      <c r="B1" s="2" t="s">
        <v>56</v>
      </c>
      <c r="C1" s="2" t="s">
        <v>55</v>
      </c>
      <c r="D1" s="2" t="s">
        <v>60</v>
      </c>
      <c r="E1" s="2" t="s">
        <v>64</v>
      </c>
      <c r="F1" s="2" t="s">
        <v>52</v>
      </c>
      <c r="G1" s="2" t="s">
        <v>54</v>
      </c>
      <c r="H1" s="3" t="s">
        <v>40</v>
      </c>
      <c r="I1" s="3" t="s">
        <v>47</v>
      </c>
      <c r="J1" s="3" t="s">
        <v>46</v>
      </c>
      <c r="K1" s="3" t="s">
        <v>44</v>
      </c>
      <c r="L1" s="3" t="s">
        <v>43</v>
      </c>
      <c r="M1" s="3" t="s">
        <v>41</v>
      </c>
      <c r="N1" s="3" t="s">
        <v>42</v>
      </c>
      <c r="O1" s="3" t="s">
        <v>39</v>
      </c>
      <c r="P1" s="3" t="s">
        <v>38</v>
      </c>
      <c r="Q1" s="3" t="s">
        <v>37</v>
      </c>
      <c r="R1" s="3" t="s">
        <v>36</v>
      </c>
      <c r="S1" s="5" t="s">
        <v>31</v>
      </c>
      <c r="T1" s="3" t="s">
        <v>18</v>
      </c>
      <c r="U1" s="3" t="s">
        <v>21</v>
      </c>
      <c r="V1" s="3" t="s">
        <v>19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20</v>
      </c>
      <c r="AG1" s="5" t="s">
        <v>13</v>
      </c>
      <c r="AH1" s="5" t="s">
        <v>14</v>
      </c>
      <c r="AI1" s="5" t="s">
        <v>15</v>
      </c>
      <c r="AJ1" s="5" t="s">
        <v>16</v>
      </c>
      <c r="AK1" s="5" t="s">
        <v>17</v>
      </c>
      <c r="AL1" s="3" t="s">
        <v>10</v>
      </c>
      <c r="AM1" s="3" t="s">
        <v>11</v>
      </c>
      <c r="AN1" s="3" t="s">
        <v>12</v>
      </c>
      <c r="AO1" s="5" t="s">
        <v>6</v>
      </c>
      <c r="AP1" s="5" t="s">
        <v>7</v>
      </c>
      <c r="AQ1" s="5" t="s">
        <v>8</v>
      </c>
      <c r="AR1" s="5" t="s">
        <v>9</v>
      </c>
      <c r="AS1" s="5" t="s">
        <v>3</v>
      </c>
      <c r="AT1" s="5" t="s">
        <v>4</v>
      </c>
      <c r="AU1" s="5" t="s">
        <v>5</v>
      </c>
      <c r="AV1" s="3" t="s">
        <v>2</v>
      </c>
      <c r="AW1" s="3" t="s">
        <v>1</v>
      </c>
    </row>
    <row r="2" spans="1:49" x14ac:dyDescent="0.2">
      <c r="A2" s="1">
        <v>44725</v>
      </c>
      <c r="C2" s="1" t="s">
        <v>57</v>
      </c>
      <c r="D2" s="1" t="s">
        <v>61</v>
      </c>
      <c r="E2" s="1" t="s">
        <v>69</v>
      </c>
      <c r="F2" s="1"/>
      <c r="G2">
        <v>5717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7" t="s">
        <v>32</v>
      </c>
      <c r="V2" s="4">
        <v>2268</v>
      </c>
      <c r="W2" s="4">
        <v>122400</v>
      </c>
      <c r="Y2" s="4">
        <v>114650</v>
      </c>
      <c r="Z2" s="4">
        <v>120000</v>
      </c>
      <c r="AA2" s="4">
        <v>2400</v>
      </c>
      <c r="AD2" s="4">
        <v>367</v>
      </c>
      <c r="AE2" s="4">
        <v>9324</v>
      </c>
    </row>
    <row r="3" spans="1:49" x14ac:dyDescent="0.2">
      <c r="A3" s="1">
        <v>44724</v>
      </c>
      <c r="C3" s="1" t="s">
        <v>57</v>
      </c>
      <c r="D3" s="1" t="s">
        <v>61</v>
      </c>
      <c r="E3" s="1" t="s">
        <v>69</v>
      </c>
      <c r="F3" s="1"/>
      <c r="G3">
        <v>5699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7" t="s">
        <v>32</v>
      </c>
      <c r="V3" s="4">
        <v>95</v>
      </c>
      <c r="W3" s="4">
        <v>122400</v>
      </c>
      <c r="Y3" s="4">
        <v>114650</v>
      </c>
      <c r="Z3" s="4">
        <v>120000</v>
      </c>
      <c r="AA3" s="4">
        <v>2400</v>
      </c>
      <c r="AD3" s="4">
        <v>95</v>
      </c>
      <c r="AE3" s="4">
        <v>8241</v>
      </c>
    </row>
    <row r="4" spans="1:49" x14ac:dyDescent="0.2">
      <c r="A4" s="1">
        <v>44723</v>
      </c>
      <c r="C4" s="1" t="s">
        <v>57</v>
      </c>
      <c r="D4" s="1" t="s">
        <v>61</v>
      </c>
      <c r="E4" s="1" t="s">
        <v>69</v>
      </c>
      <c r="F4" s="1"/>
      <c r="G4">
        <v>5695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7" t="s">
        <v>32</v>
      </c>
      <c r="V4" s="4">
        <v>111</v>
      </c>
      <c r="W4" s="4">
        <v>122400</v>
      </c>
      <c r="Y4" s="4">
        <v>114650</v>
      </c>
      <c r="Z4" s="4">
        <v>120000</v>
      </c>
      <c r="AA4" s="4">
        <v>2400</v>
      </c>
      <c r="AD4" s="4">
        <v>111</v>
      </c>
      <c r="AE4" s="4">
        <v>8761</v>
      </c>
    </row>
    <row r="5" spans="1:49" x14ac:dyDescent="0.2">
      <c r="A5" s="1">
        <v>44722</v>
      </c>
      <c r="C5" s="1" t="s">
        <v>57</v>
      </c>
      <c r="D5" s="1" t="s">
        <v>61</v>
      </c>
      <c r="E5" s="1" t="s">
        <v>69</v>
      </c>
      <c r="F5" s="1"/>
      <c r="G5">
        <v>5703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7" t="s">
        <v>32</v>
      </c>
      <c r="V5" s="4">
        <v>1590</v>
      </c>
      <c r="W5" s="4">
        <v>122400</v>
      </c>
      <c r="Y5" s="4">
        <v>114650</v>
      </c>
      <c r="Z5" s="4">
        <v>120000</v>
      </c>
      <c r="AA5" s="4">
        <v>2400</v>
      </c>
      <c r="AD5" s="4">
        <v>440</v>
      </c>
      <c r="AE5" s="4">
        <v>11546</v>
      </c>
    </row>
    <row r="6" spans="1:49" x14ac:dyDescent="0.2">
      <c r="A6" s="1">
        <v>44721</v>
      </c>
      <c r="C6" s="1" t="s">
        <v>57</v>
      </c>
      <c r="D6" s="1" t="s">
        <v>61</v>
      </c>
      <c r="E6" s="1" t="s">
        <v>69</v>
      </c>
      <c r="F6" s="1"/>
      <c r="G6">
        <v>5719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7" t="s">
        <v>32</v>
      </c>
      <c r="V6" s="4">
        <v>1298</v>
      </c>
      <c r="W6" s="4">
        <v>122400</v>
      </c>
      <c r="Y6" s="4">
        <v>114650</v>
      </c>
      <c r="Z6" s="4">
        <v>120000</v>
      </c>
      <c r="AA6" s="4">
        <v>2400</v>
      </c>
      <c r="AD6" s="4">
        <v>669</v>
      </c>
      <c r="AE6" s="4">
        <v>11409</v>
      </c>
    </row>
    <row r="7" spans="1:49" x14ac:dyDescent="0.2">
      <c r="A7" s="1">
        <v>44720</v>
      </c>
      <c r="C7" s="1" t="s">
        <v>57</v>
      </c>
      <c r="D7" s="1" t="s">
        <v>61</v>
      </c>
      <c r="E7" s="1" t="s">
        <v>69</v>
      </c>
      <c r="F7" s="1" t="s">
        <v>51</v>
      </c>
      <c r="G7">
        <v>5715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7" t="s">
        <v>32</v>
      </c>
      <c r="V7" s="4">
        <v>1344</v>
      </c>
      <c r="W7" s="4">
        <v>122400</v>
      </c>
      <c r="Y7" s="4">
        <v>114650</v>
      </c>
      <c r="Z7" s="4">
        <v>120000</v>
      </c>
      <c r="AA7" s="4">
        <v>2400</v>
      </c>
      <c r="AD7" s="4">
        <v>404</v>
      </c>
      <c r="AE7" s="4">
        <v>12243</v>
      </c>
    </row>
    <row r="8" spans="1:49" x14ac:dyDescent="0.2">
      <c r="A8" s="1">
        <v>44719</v>
      </c>
      <c r="C8" s="1" t="s">
        <v>57</v>
      </c>
      <c r="D8" s="1" t="s">
        <v>61</v>
      </c>
      <c r="E8" s="1" t="s">
        <v>69</v>
      </c>
      <c r="F8" s="1" t="s">
        <v>51</v>
      </c>
      <c r="G8">
        <v>5661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7" t="s">
        <v>32</v>
      </c>
      <c r="V8" s="4">
        <v>1497</v>
      </c>
      <c r="W8" s="4">
        <v>122400</v>
      </c>
      <c r="Y8" s="4">
        <v>114650</v>
      </c>
      <c r="Z8" s="4">
        <v>120000</v>
      </c>
      <c r="AA8" s="4">
        <v>2400</v>
      </c>
      <c r="AD8" s="4">
        <v>392</v>
      </c>
      <c r="AE8" s="4">
        <v>7392</v>
      </c>
    </row>
    <row r="9" spans="1:49" x14ac:dyDescent="0.2">
      <c r="A9" s="1">
        <v>44718</v>
      </c>
      <c r="C9" s="1" t="s">
        <v>57</v>
      </c>
      <c r="D9" s="1" t="s">
        <v>61</v>
      </c>
      <c r="E9" s="1" t="s">
        <v>69</v>
      </c>
      <c r="F9" s="1" t="s">
        <v>51</v>
      </c>
      <c r="G9">
        <v>5626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7" t="s">
        <v>32</v>
      </c>
      <c r="V9" s="4">
        <v>930</v>
      </c>
      <c r="W9" s="4">
        <v>122400</v>
      </c>
      <c r="Y9" s="4">
        <v>114650</v>
      </c>
      <c r="Z9" s="4">
        <v>120000</v>
      </c>
      <c r="AA9" s="4">
        <v>2400</v>
      </c>
      <c r="AD9" s="4">
        <v>212</v>
      </c>
      <c r="AE9" s="4">
        <v>8129</v>
      </c>
      <c r="AM9" s="4">
        <v>5237</v>
      </c>
    </row>
    <row r="10" spans="1:49" x14ac:dyDescent="0.2">
      <c r="A10" s="1">
        <v>44717</v>
      </c>
      <c r="B10">
        <v>-17.399999999999999</v>
      </c>
      <c r="C10" s="1" t="s">
        <v>57</v>
      </c>
      <c r="D10" s="1" t="s">
        <v>61</v>
      </c>
      <c r="E10" s="1" t="s">
        <v>69</v>
      </c>
      <c r="F10" s="1" t="s">
        <v>51</v>
      </c>
      <c r="G10">
        <v>5642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7" t="s">
        <v>32</v>
      </c>
      <c r="V10" s="4">
        <v>816</v>
      </c>
      <c r="W10" s="4">
        <v>122400</v>
      </c>
      <c r="Y10" s="4">
        <v>114650</v>
      </c>
      <c r="Z10" s="4">
        <v>120000</v>
      </c>
      <c r="AA10" s="4">
        <v>2400</v>
      </c>
      <c r="AD10" s="4">
        <v>298</v>
      </c>
      <c r="AE10" s="4">
        <v>4222</v>
      </c>
      <c r="AM10" s="4">
        <v>5050</v>
      </c>
      <c r="AO10" s="6">
        <v>10199</v>
      </c>
      <c r="AP10" s="6">
        <v>2628</v>
      </c>
      <c r="AQ10" s="6">
        <v>3306</v>
      </c>
      <c r="AR10" s="6">
        <v>4265</v>
      </c>
      <c r="AS10" s="6">
        <v>93</v>
      </c>
      <c r="AT10" s="6">
        <v>87</v>
      </c>
      <c r="AU10" s="6">
        <v>69.2</v>
      </c>
    </row>
    <row r="11" spans="1:49" x14ac:dyDescent="0.2">
      <c r="A11" s="1">
        <v>44716</v>
      </c>
      <c r="B11">
        <f>B10</f>
        <v>-17.399999999999999</v>
      </c>
      <c r="C11" s="1" t="s">
        <v>57</v>
      </c>
      <c r="D11" s="1" t="s">
        <v>61</v>
      </c>
      <c r="E11" s="1" t="s">
        <v>69</v>
      </c>
      <c r="F11" s="1" t="s">
        <v>51</v>
      </c>
      <c r="G11">
        <v>5617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7" t="s">
        <v>32</v>
      </c>
      <c r="V11" s="4">
        <v>900</v>
      </c>
      <c r="W11" s="4">
        <v>122400</v>
      </c>
      <c r="Y11" s="4">
        <v>114650</v>
      </c>
      <c r="Z11" s="4">
        <v>120000</v>
      </c>
      <c r="AA11" s="4">
        <v>2400</v>
      </c>
      <c r="AD11" s="4">
        <v>96</v>
      </c>
      <c r="AE11" s="4">
        <v>1086</v>
      </c>
      <c r="AM11" s="4">
        <v>4900</v>
      </c>
      <c r="AO11" s="6">
        <v>19675</v>
      </c>
      <c r="AP11" s="6">
        <v>5621</v>
      </c>
      <c r="AQ11" s="6">
        <v>6472</v>
      </c>
      <c r="AR11" s="6">
        <v>7582</v>
      </c>
      <c r="AS11" s="6">
        <v>93</v>
      </c>
      <c r="AT11" s="6">
        <v>87</v>
      </c>
      <c r="AU11" s="6">
        <v>69.2</v>
      </c>
    </row>
    <row r="12" spans="1:49" x14ac:dyDescent="0.2">
      <c r="A12" s="1">
        <v>44715</v>
      </c>
      <c r="B12">
        <f t="shared" ref="B12:B16" si="0">B11</f>
        <v>-17.399999999999999</v>
      </c>
      <c r="C12" s="1" t="s">
        <v>57</v>
      </c>
      <c r="D12" s="1" t="s">
        <v>61</v>
      </c>
      <c r="E12" s="1" t="s">
        <v>69</v>
      </c>
      <c r="F12" s="1" t="s">
        <v>51</v>
      </c>
      <c r="G12">
        <v>5596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7" t="s">
        <v>32</v>
      </c>
      <c r="V12" s="4">
        <v>148</v>
      </c>
      <c r="W12" s="4">
        <v>122400</v>
      </c>
      <c r="Y12" s="4">
        <v>114650</v>
      </c>
      <c r="Z12" s="4">
        <v>120000</v>
      </c>
      <c r="AA12" s="4">
        <v>2400</v>
      </c>
      <c r="AD12" s="4">
        <v>148</v>
      </c>
      <c r="AE12" s="4">
        <v>11183</v>
      </c>
      <c r="AL12" s="4">
        <v>471</v>
      </c>
      <c r="AM12" s="4">
        <v>4946</v>
      </c>
      <c r="AO12" s="6">
        <v>3834</v>
      </c>
      <c r="AP12" s="6">
        <v>1033</v>
      </c>
      <c r="AQ12" s="6">
        <v>1177</v>
      </c>
      <c r="AR12" s="6">
        <v>1624</v>
      </c>
      <c r="AS12" s="6">
        <v>93</v>
      </c>
      <c r="AT12" s="6">
        <v>87</v>
      </c>
      <c r="AU12" s="6">
        <v>69.2</v>
      </c>
      <c r="AW12" s="4">
        <v>7</v>
      </c>
    </row>
    <row r="13" spans="1:49" x14ac:dyDescent="0.2">
      <c r="A13" s="1">
        <v>44714</v>
      </c>
      <c r="B13">
        <f t="shared" si="0"/>
        <v>-17.399999999999999</v>
      </c>
      <c r="C13" s="1" t="s">
        <v>57</v>
      </c>
      <c r="D13" s="1" t="s">
        <v>61</v>
      </c>
      <c r="E13" s="1" t="s">
        <v>69</v>
      </c>
      <c r="F13" s="1" t="s">
        <v>51</v>
      </c>
      <c r="G13">
        <v>5563</v>
      </c>
      <c r="H13" s="8"/>
      <c r="I13" s="4">
        <v>111</v>
      </c>
      <c r="J13" s="4">
        <v>28</v>
      </c>
      <c r="K13" s="8"/>
      <c r="L13" s="4">
        <v>176</v>
      </c>
      <c r="M13" s="4">
        <v>85</v>
      </c>
      <c r="N13" s="4">
        <v>95</v>
      </c>
      <c r="O13" s="4">
        <v>61</v>
      </c>
      <c r="P13" s="8"/>
      <c r="Q13" s="8"/>
      <c r="R13" s="8"/>
      <c r="S13" s="7" t="s">
        <v>32</v>
      </c>
      <c r="V13" s="4">
        <v>317</v>
      </c>
      <c r="W13" s="4">
        <v>122400</v>
      </c>
      <c r="Y13" s="4">
        <v>114650</v>
      </c>
      <c r="Z13" s="4">
        <v>120000</v>
      </c>
      <c r="AA13" s="4">
        <v>2400</v>
      </c>
      <c r="AD13" s="4">
        <v>317</v>
      </c>
      <c r="AE13" s="4">
        <v>9240</v>
      </c>
      <c r="AL13" s="4">
        <v>502</v>
      </c>
      <c r="AM13" s="4">
        <v>4930</v>
      </c>
      <c r="AO13" s="6">
        <v>9246</v>
      </c>
      <c r="AP13" s="6">
        <v>2266</v>
      </c>
      <c r="AQ13" s="6">
        <v>2390</v>
      </c>
      <c r="AR13" s="6">
        <v>4590</v>
      </c>
      <c r="AS13" s="6">
        <v>93</v>
      </c>
      <c r="AT13" s="6">
        <v>87</v>
      </c>
      <c r="AU13" s="6">
        <v>69.2</v>
      </c>
      <c r="AW13" s="4">
        <v>11</v>
      </c>
    </row>
    <row r="14" spans="1:49" x14ac:dyDescent="0.2">
      <c r="A14" s="1">
        <v>44713</v>
      </c>
      <c r="B14">
        <f t="shared" si="0"/>
        <v>-17.399999999999999</v>
      </c>
      <c r="C14" s="1" t="s">
        <v>57</v>
      </c>
      <c r="D14" s="1" t="s">
        <v>61</v>
      </c>
      <c r="E14" s="1" t="s">
        <v>69</v>
      </c>
      <c r="F14" s="1" t="s">
        <v>51</v>
      </c>
      <c r="G14">
        <v>5593</v>
      </c>
      <c r="H14" s="8"/>
      <c r="I14" s="4">
        <v>105</v>
      </c>
      <c r="J14" s="4">
        <v>57</v>
      </c>
      <c r="K14" s="8"/>
      <c r="L14" s="4">
        <v>113</v>
      </c>
      <c r="M14" s="4">
        <v>88</v>
      </c>
      <c r="N14" s="4">
        <v>101</v>
      </c>
      <c r="O14" s="4">
        <v>70</v>
      </c>
      <c r="P14" s="8"/>
      <c r="Q14" s="8"/>
      <c r="R14" s="8"/>
      <c r="S14" s="7" t="s">
        <v>32</v>
      </c>
      <c r="V14" s="4">
        <v>860</v>
      </c>
      <c r="W14" s="4">
        <v>122400</v>
      </c>
      <c r="Y14" s="4">
        <v>114650</v>
      </c>
      <c r="Z14" s="4">
        <v>120000</v>
      </c>
      <c r="AA14" s="4">
        <v>2400</v>
      </c>
      <c r="AD14" s="4">
        <v>260</v>
      </c>
      <c r="AE14" s="4">
        <v>10931</v>
      </c>
      <c r="AL14" s="4">
        <v>566</v>
      </c>
      <c r="AM14" s="4">
        <v>4904</v>
      </c>
      <c r="AO14" s="6">
        <v>28747</v>
      </c>
      <c r="AP14" s="6">
        <v>6970</v>
      </c>
      <c r="AQ14" s="6">
        <v>8628</v>
      </c>
      <c r="AR14" s="6">
        <v>13149</v>
      </c>
      <c r="AS14" s="6">
        <v>93</v>
      </c>
      <c r="AT14" s="6">
        <v>87</v>
      </c>
      <c r="AU14" s="6">
        <v>69.099999999999994</v>
      </c>
      <c r="AW14" s="4">
        <v>13</v>
      </c>
    </row>
    <row r="15" spans="1:49" x14ac:dyDescent="0.2">
      <c r="A15" s="1">
        <v>44712</v>
      </c>
      <c r="B15">
        <f t="shared" si="0"/>
        <v>-17.399999999999999</v>
      </c>
      <c r="C15" s="1" t="s">
        <v>57</v>
      </c>
      <c r="D15" s="1" t="s">
        <v>61</v>
      </c>
      <c r="E15" s="1" t="s">
        <v>69</v>
      </c>
      <c r="F15" s="1" t="s">
        <v>51</v>
      </c>
      <c r="G15">
        <v>5667</v>
      </c>
      <c r="H15" s="8"/>
      <c r="I15" s="4">
        <v>108</v>
      </c>
      <c r="J15" s="4">
        <v>58</v>
      </c>
      <c r="K15" s="8"/>
      <c r="L15" s="4">
        <v>86</v>
      </c>
      <c r="M15" s="4">
        <v>78</v>
      </c>
      <c r="N15" s="4">
        <v>93</v>
      </c>
      <c r="O15" s="4">
        <v>68</v>
      </c>
      <c r="P15" s="8"/>
      <c r="Q15" s="8"/>
      <c r="R15" s="8"/>
      <c r="S15" s="7" t="s">
        <v>33</v>
      </c>
      <c r="V15" s="4">
        <v>1222</v>
      </c>
      <c r="W15" s="4">
        <v>122400</v>
      </c>
      <c r="Y15" s="4">
        <v>114650</v>
      </c>
      <c r="Z15" s="4">
        <v>120000</v>
      </c>
      <c r="AA15" s="4">
        <v>2400</v>
      </c>
      <c r="AD15" s="4">
        <v>400</v>
      </c>
      <c r="AE15" s="4">
        <v>7146</v>
      </c>
      <c r="AL15" s="4">
        <v>580</v>
      </c>
      <c r="AM15" s="4">
        <v>5154</v>
      </c>
      <c r="AO15" s="6">
        <v>30048</v>
      </c>
      <c r="AP15" s="6">
        <v>7650</v>
      </c>
      <c r="AQ15" s="6">
        <v>8775</v>
      </c>
      <c r="AR15" s="6">
        <v>13623</v>
      </c>
      <c r="AS15" s="6">
        <v>93</v>
      </c>
      <c r="AT15" s="6">
        <v>87</v>
      </c>
      <c r="AU15" s="6">
        <v>69.099999999999994</v>
      </c>
      <c r="AW15" s="4">
        <v>23</v>
      </c>
    </row>
    <row r="16" spans="1:49" x14ac:dyDescent="0.2">
      <c r="A16" s="1">
        <v>44711</v>
      </c>
      <c r="B16">
        <f t="shared" si="0"/>
        <v>-17.399999999999999</v>
      </c>
      <c r="C16" s="1" t="s">
        <v>57</v>
      </c>
      <c r="D16" s="1" t="s">
        <v>61</v>
      </c>
      <c r="E16" s="1" t="s">
        <v>69</v>
      </c>
      <c r="F16" s="1" t="s">
        <v>51</v>
      </c>
      <c r="G16">
        <v>5680</v>
      </c>
      <c r="H16" s="8"/>
      <c r="I16" s="4">
        <v>109</v>
      </c>
      <c r="J16" s="4">
        <v>56</v>
      </c>
      <c r="K16" s="8"/>
      <c r="L16" s="4">
        <v>99</v>
      </c>
      <c r="M16" s="4">
        <v>80</v>
      </c>
      <c r="N16" s="4">
        <v>93</v>
      </c>
      <c r="O16" s="4">
        <v>66</v>
      </c>
      <c r="P16" s="8"/>
      <c r="Q16" s="8"/>
      <c r="R16" s="8"/>
      <c r="S16" s="7" t="s">
        <v>33</v>
      </c>
      <c r="V16" s="4">
        <v>338</v>
      </c>
      <c r="W16" s="4">
        <v>122400</v>
      </c>
      <c r="Y16" s="4">
        <v>114650</v>
      </c>
      <c r="Z16" s="4">
        <v>120000</v>
      </c>
      <c r="AA16" s="4">
        <v>2400</v>
      </c>
      <c r="AD16" s="4">
        <v>283</v>
      </c>
      <c r="AE16" s="4">
        <v>8675</v>
      </c>
      <c r="AL16" s="4">
        <v>547</v>
      </c>
      <c r="AM16" s="4">
        <v>5192</v>
      </c>
      <c r="AO16" s="6">
        <v>27680</v>
      </c>
      <c r="AP16" s="6">
        <v>6769</v>
      </c>
      <c r="AQ16" s="6">
        <v>8051</v>
      </c>
      <c r="AR16" s="6">
        <v>12860</v>
      </c>
      <c r="AS16" s="6">
        <v>93</v>
      </c>
      <c r="AT16" s="6">
        <v>86.9</v>
      </c>
      <c r="AU16" s="6">
        <v>69.099999999999994</v>
      </c>
      <c r="AW16" s="4">
        <v>36</v>
      </c>
    </row>
    <row r="17" spans="1:49" x14ac:dyDescent="0.2">
      <c r="A17" s="1">
        <v>44710</v>
      </c>
      <c r="B17">
        <v>7.93</v>
      </c>
      <c r="C17" s="1" t="s">
        <v>57</v>
      </c>
      <c r="D17" s="1" t="s">
        <v>61</v>
      </c>
      <c r="E17" s="1" t="s">
        <v>69</v>
      </c>
      <c r="F17" s="1" t="s">
        <v>51</v>
      </c>
      <c r="G17">
        <v>5652</v>
      </c>
      <c r="H17" s="8"/>
      <c r="I17" s="4">
        <v>99</v>
      </c>
      <c r="J17" s="4">
        <v>93</v>
      </c>
      <c r="K17" s="8"/>
      <c r="L17" s="4">
        <v>111</v>
      </c>
      <c r="M17" s="4">
        <v>82</v>
      </c>
      <c r="N17" s="4">
        <v>91</v>
      </c>
      <c r="O17" s="4">
        <v>86</v>
      </c>
      <c r="P17" s="4">
        <v>106.887251783601</v>
      </c>
      <c r="Q17" s="4">
        <v>92.939596194934396</v>
      </c>
      <c r="R17" s="8"/>
      <c r="S17" s="7" t="s">
        <v>33</v>
      </c>
      <c r="V17" s="4">
        <v>37</v>
      </c>
      <c r="W17" s="4">
        <v>122400</v>
      </c>
      <c r="Y17" s="4">
        <v>114650</v>
      </c>
      <c r="Z17" s="4">
        <v>120000</v>
      </c>
      <c r="AA17" s="4">
        <v>2400</v>
      </c>
      <c r="AD17" s="4">
        <v>37</v>
      </c>
      <c r="AE17" s="4">
        <v>7977</v>
      </c>
      <c r="AL17" s="4">
        <v>510</v>
      </c>
      <c r="AM17" s="4">
        <v>5113</v>
      </c>
      <c r="AO17" s="6">
        <v>18082</v>
      </c>
      <c r="AP17" s="6">
        <v>6018</v>
      </c>
      <c r="AQ17" s="6">
        <v>5496</v>
      </c>
      <c r="AR17" s="6">
        <v>6568</v>
      </c>
      <c r="AS17" s="6">
        <v>93</v>
      </c>
      <c r="AT17" s="6">
        <v>86.9</v>
      </c>
      <c r="AU17" s="6">
        <v>69.099999999999994</v>
      </c>
      <c r="AW17" s="4">
        <v>11</v>
      </c>
    </row>
    <row r="18" spans="1:49" x14ac:dyDescent="0.2">
      <c r="A18" s="1">
        <v>44709</v>
      </c>
      <c r="B18">
        <f>B17</f>
        <v>7.93</v>
      </c>
      <c r="C18" s="1" t="s">
        <v>57</v>
      </c>
      <c r="D18" s="1" t="s">
        <v>61</v>
      </c>
      <c r="E18" s="1" t="s">
        <v>69</v>
      </c>
      <c r="F18" s="1" t="s">
        <v>51</v>
      </c>
      <c r="G18">
        <v>5632</v>
      </c>
      <c r="H18" s="8"/>
      <c r="I18" s="4">
        <v>98</v>
      </c>
      <c r="J18" s="4">
        <v>91</v>
      </c>
      <c r="K18" s="8"/>
      <c r="L18" s="4">
        <v>101</v>
      </c>
      <c r="M18" s="4">
        <v>78</v>
      </c>
      <c r="N18" s="4">
        <v>94</v>
      </c>
      <c r="O18" s="4">
        <v>83</v>
      </c>
      <c r="P18" s="4">
        <v>88.901093000168004</v>
      </c>
      <c r="Q18" s="4">
        <v>87.591538519992397</v>
      </c>
      <c r="R18" s="8"/>
      <c r="S18" s="7" t="s">
        <v>33</v>
      </c>
      <c r="V18" s="4">
        <v>1385</v>
      </c>
      <c r="W18" s="4">
        <v>122400</v>
      </c>
      <c r="Y18" s="4">
        <v>114650</v>
      </c>
      <c r="Z18" s="4">
        <v>120000</v>
      </c>
      <c r="AA18" s="4">
        <v>2400</v>
      </c>
      <c r="AD18" s="4">
        <v>188</v>
      </c>
      <c r="AE18" s="4">
        <v>10742</v>
      </c>
      <c r="AL18" s="4">
        <v>448</v>
      </c>
      <c r="AM18" s="4">
        <v>5164</v>
      </c>
      <c r="AO18" s="6">
        <v>37018</v>
      </c>
      <c r="AP18" s="6">
        <v>12568</v>
      </c>
      <c r="AQ18" s="6">
        <v>11504</v>
      </c>
      <c r="AR18" s="6">
        <v>12946</v>
      </c>
      <c r="AS18" s="6">
        <v>93</v>
      </c>
      <c r="AT18" s="6">
        <v>86.9</v>
      </c>
      <c r="AU18" s="6">
        <v>69.099999999999994</v>
      </c>
      <c r="AW18" s="4">
        <v>28</v>
      </c>
    </row>
    <row r="19" spans="1:49" x14ac:dyDescent="0.2">
      <c r="A19" s="1">
        <v>44708</v>
      </c>
      <c r="B19">
        <f t="shared" ref="B19:B23" si="1">B18</f>
        <v>7.93</v>
      </c>
      <c r="C19" s="1" t="s">
        <v>57</v>
      </c>
      <c r="D19" s="1" t="s">
        <v>61</v>
      </c>
      <c r="E19" s="1" t="s">
        <v>69</v>
      </c>
      <c r="F19" s="1" t="s">
        <v>51</v>
      </c>
      <c r="G19">
        <v>5596</v>
      </c>
      <c r="H19" s="8"/>
      <c r="I19" s="4">
        <v>105</v>
      </c>
      <c r="J19" s="4">
        <v>67</v>
      </c>
      <c r="K19" s="8"/>
      <c r="L19" s="4">
        <v>125</v>
      </c>
      <c r="M19" s="4">
        <v>78</v>
      </c>
      <c r="N19" s="4">
        <v>99</v>
      </c>
      <c r="O19" s="4">
        <v>71</v>
      </c>
      <c r="P19" s="4">
        <v>70.437757564883299</v>
      </c>
      <c r="Q19" s="4">
        <v>84.592658727403304</v>
      </c>
      <c r="R19" s="8"/>
      <c r="S19" s="7" t="s">
        <v>33</v>
      </c>
      <c r="V19" s="4">
        <v>1227</v>
      </c>
      <c r="W19" s="4">
        <v>122400</v>
      </c>
      <c r="Y19" s="4">
        <v>114650</v>
      </c>
      <c r="Z19" s="4">
        <v>120000</v>
      </c>
      <c r="AA19" s="4">
        <v>2400</v>
      </c>
      <c r="AD19" s="4">
        <v>506</v>
      </c>
      <c r="AE19" s="4">
        <v>11186</v>
      </c>
      <c r="AL19" s="4">
        <v>518</v>
      </c>
      <c r="AM19" s="4">
        <v>5357</v>
      </c>
      <c r="AO19" s="6">
        <v>23950</v>
      </c>
      <c r="AP19" s="6">
        <v>5192</v>
      </c>
      <c r="AQ19" s="6">
        <v>6356</v>
      </c>
      <c r="AR19" s="6">
        <v>12402</v>
      </c>
      <c r="AS19" s="6">
        <v>93</v>
      </c>
      <c r="AT19" s="6">
        <v>86.9</v>
      </c>
      <c r="AU19" s="6">
        <v>69</v>
      </c>
      <c r="AW19" s="4">
        <v>31</v>
      </c>
    </row>
    <row r="20" spans="1:49" x14ac:dyDescent="0.2">
      <c r="A20" s="1">
        <v>44707</v>
      </c>
      <c r="B20">
        <f t="shared" si="1"/>
        <v>7.93</v>
      </c>
      <c r="C20" s="1" t="s">
        <v>57</v>
      </c>
      <c r="D20" s="1" t="s">
        <v>61</v>
      </c>
      <c r="E20" s="1" t="s">
        <v>69</v>
      </c>
      <c r="F20" s="1" t="s">
        <v>51</v>
      </c>
      <c r="G20">
        <v>5576</v>
      </c>
      <c r="H20" s="8"/>
      <c r="I20" s="4">
        <v>106</v>
      </c>
      <c r="J20" s="4">
        <v>70</v>
      </c>
      <c r="K20" s="8"/>
      <c r="L20" s="4">
        <v>108</v>
      </c>
      <c r="M20" s="4">
        <v>79</v>
      </c>
      <c r="N20" s="4">
        <v>98</v>
      </c>
      <c r="O20" s="4">
        <v>72</v>
      </c>
      <c r="P20" s="4">
        <v>75.127997942128601</v>
      </c>
      <c r="Q20" s="4">
        <v>83.061200921000406</v>
      </c>
      <c r="R20" s="8"/>
      <c r="S20" s="7" t="s">
        <v>33</v>
      </c>
      <c r="V20" s="4">
        <v>2385</v>
      </c>
      <c r="W20" s="4">
        <v>122400</v>
      </c>
      <c r="Y20" s="4">
        <v>114650</v>
      </c>
      <c r="Z20" s="4">
        <v>120000</v>
      </c>
      <c r="AA20" s="4">
        <v>2400</v>
      </c>
      <c r="AD20" s="4">
        <v>379</v>
      </c>
      <c r="AE20" s="4">
        <v>12742</v>
      </c>
      <c r="AL20" s="4">
        <v>490</v>
      </c>
      <c r="AM20" s="4">
        <v>5610</v>
      </c>
      <c r="AO20" s="6">
        <v>42218</v>
      </c>
      <c r="AP20" s="6">
        <v>3608</v>
      </c>
      <c r="AQ20" s="6">
        <v>25392</v>
      </c>
      <c r="AR20" s="6">
        <v>13218</v>
      </c>
      <c r="AS20" s="6">
        <v>92.9</v>
      </c>
      <c r="AT20" s="6">
        <v>86.9</v>
      </c>
      <c r="AU20" s="6">
        <v>69</v>
      </c>
      <c r="AW20" s="4">
        <v>35</v>
      </c>
    </row>
    <row r="21" spans="1:49" x14ac:dyDescent="0.2">
      <c r="A21" s="1">
        <v>44706</v>
      </c>
      <c r="B21">
        <f t="shared" si="1"/>
        <v>7.93</v>
      </c>
      <c r="C21" s="1" t="s">
        <v>57</v>
      </c>
      <c r="D21" s="1" t="s">
        <v>61</v>
      </c>
      <c r="E21" s="1" t="s">
        <v>69</v>
      </c>
      <c r="F21" s="1" t="s">
        <v>51</v>
      </c>
      <c r="G21">
        <v>5511</v>
      </c>
      <c r="H21" s="8"/>
      <c r="I21" s="4">
        <v>106</v>
      </c>
      <c r="J21" s="4">
        <v>69</v>
      </c>
      <c r="K21" s="8"/>
      <c r="L21" s="4">
        <v>96</v>
      </c>
      <c r="M21" s="4">
        <v>76</v>
      </c>
      <c r="N21" s="4">
        <v>95</v>
      </c>
      <c r="O21" s="4">
        <v>71</v>
      </c>
      <c r="P21" s="4">
        <v>72.720632960206501</v>
      </c>
      <c r="Q21" s="4">
        <v>82.505654953300706</v>
      </c>
      <c r="R21" s="8"/>
      <c r="S21" s="7" t="s">
        <v>33</v>
      </c>
      <c r="V21" s="4">
        <v>2016</v>
      </c>
      <c r="W21" s="4">
        <v>122400</v>
      </c>
      <c r="Y21" s="4">
        <v>114650</v>
      </c>
      <c r="Z21" s="4">
        <v>120000</v>
      </c>
      <c r="AA21" s="4">
        <v>2400</v>
      </c>
      <c r="AD21" s="4">
        <v>491</v>
      </c>
      <c r="AE21" s="4">
        <v>13072</v>
      </c>
      <c r="AL21" s="4">
        <v>570</v>
      </c>
      <c r="AM21" s="4">
        <v>5741</v>
      </c>
      <c r="AO21" s="6">
        <v>14234</v>
      </c>
      <c r="AP21" s="6">
        <v>386</v>
      </c>
      <c r="AQ21" s="6">
        <v>3072</v>
      </c>
      <c r="AR21" s="6">
        <v>10776</v>
      </c>
      <c r="AS21" s="6">
        <v>92.9</v>
      </c>
      <c r="AT21" s="6">
        <v>86.8</v>
      </c>
      <c r="AU21" s="6">
        <v>69</v>
      </c>
      <c r="AW21" s="4">
        <v>30</v>
      </c>
    </row>
    <row r="22" spans="1:49" x14ac:dyDescent="0.2">
      <c r="A22" s="1">
        <v>44705</v>
      </c>
      <c r="B22">
        <f t="shared" si="1"/>
        <v>7.93</v>
      </c>
      <c r="C22" s="1" t="s">
        <v>57</v>
      </c>
      <c r="D22" s="1" t="s">
        <v>61</v>
      </c>
      <c r="E22" s="1" t="s">
        <v>69</v>
      </c>
      <c r="F22" s="1" t="s">
        <v>51</v>
      </c>
      <c r="G22">
        <v>5437</v>
      </c>
      <c r="H22" s="8"/>
      <c r="I22" s="4">
        <v>107</v>
      </c>
      <c r="J22" s="4">
        <v>68</v>
      </c>
      <c r="K22" s="8"/>
      <c r="L22" s="4">
        <v>89</v>
      </c>
      <c r="M22" s="4">
        <v>75</v>
      </c>
      <c r="N22" s="4">
        <v>94</v>
      </c>
      <c r="O22" s="4">
        <v>71</v>
      </c>
      <c r="P22" s="4">
        <v>72.069202099563299</v>
      </c>
      <c r="Q22" s="4">
        <v>82.471754844652693</v>
      </c>
      <c r="R22" s="8"/>
      <c r="S22" s="7" t="s">
        <v>33</v>
      </c>
      <c r="U22" s="4">
        <v>315977</v>
      </c>
      <c r="V22" s="4">
        <v>1667</v>
      </c>
      <c r="W22" s="4">
        <v>122400</v>
      </c>
      <c r="X22" s="4">
        <v>201327</v>
      </c>
      <c r="Y22" s="4">
        <v>114650</v>
      </c>
      <c r="Z22" s="4">
        <v>120000</v>
      </c>
      <c r="AA22" s="4">
        <v>2400</v>
      </c>
      <c r="AD22" s="4">
        <v>413</v>
      </c>
      <c r="AE22" s="4">
        <v>7950</v>
      </c>
      <c r="AL22" s="4">
        <v>568</v>
      </c>
      <c r="AM22" s="4">
        <v>5888</v>
      </c>
      <c r="AO22" s="6">
        <v>22504</v>
      </c>
      <c r="AP22" s="6">
        <v>4746</v>
      </c>
      <c r="AQ22" s="6">
        <v>4867</v>
      </c>
      <c r="AR22" s="6">
        <v>12891</v>
      </c>
      <c r="AS22" s="6">
        <v>92.9</v>
      </c>
      <c r="AT22" s="6">
        <v>86.8</v>
      </c>
      <c r="AU22" s="6">
        <v>69</v>
      </c>
      <c r="AW22" s="4">
        <v>45</v>
      </c>
    </row>
    <row r="23" spans="1:49" x14ac:dyDescent="0.2">
      <c r="A23" s="1">
        <v>44704</v>
      </c>
      <c r="B23">
        <f t="shared" si="1"/>
        <v>7.93</v>
      </c>
      <c r="C23" s="1" t="s">
        <v>57</v>
      </c>
      <c r="D23" s="1" t="s">
        <v>61</v>
      </c>
      <c r="E23" s="1" t="s">
        <v>69</v>
      </c>
      <c r="F23" s="1" t="s">
        <v>51</v>
      </c>
      <c r="G23">
        <v>5410</v>
      </c>
      <c r="H23" s="8"/>
      <c r="I23" s="4">
        <v>108</v>
      </c>
      <c r="J23" s="4">
        <v>66</v>
      </c>
      <c r="K23" s="8"/>
      <c r="L23" s="4">
        <v>103</v>
      </c>
      <c r="M23" s="4">
        <v>75</v>
      </c>
      <c r="N23" s="4">
        <v>96</v>
      </c>
      <c r="O23" s="4">
        <v>67</v>
      </c>
      <c r="P23" s="4">
        <v>64.834912860169794</v>
      </c>
      <c r="Q23" s="4">
        <v>79.762695900940898</v>
      </c>
      <c r="R23" s="8"/>
      <c r="S23" s="7" t="s">
        <v>33</v>
      </c>
      <c r="U23" s="4">
        <v>315977</v>
      </c>
      <c r="V23" s="4">
        <v>881</v>
      </c>
      <c r="W23" s="4">
        <v>122400</v>
      </c>
      <c r="X23" s="4">
        <v>201327</v>
      </c>
      <c r="Y23" s="4">
        <v>114650</v>
      </c>
      <c r="Z23" s="4">
        <v>120000</v>
      </c>
      <c r="AA23" s="4">
        <v>2400</v>
      </c>
      <c r="AD23" s="4">
        <v>458</v>
      </c>
      <c r="AE23" s="4">
        <v>7780</v>
      </c>
      <c r="AL23" s="4">
        <v>588</v>
      </c>
      <c r="AM23" s="4">
        <v>6260</v>
      </c>
      <c r="AO23" s="6">
        <v>20678</v>
      </c>
      <c r="AP23" s="6">
        <v>3323</v>
      </c>
      <c r="AQ23" s="6">
        <v>4629</v>
      </c>
      <c r="AR23" s="6">
        <v>12726</v>
      </c>
      <c r="AS23" s="6">
        <v>92.9</v>
      </c>
      <c r="AT23" s="6">
        <v>86.8</v>
      </c>
      <c r="AU23" s="6">
        <v>69</v>
      </c>
      <c r="AW23" s="4">
        <v>54</v>
      </c>
    </row>
    <row r="24" spans="1:49" x14ac:dyDescent="0.2">
      <c r="A24" s="1">
        <v>44703</v>
      </c>
      <c r="B24">
        <v>11.93</v>
      </c>
      <c r="C24" s="1" t="s">
        <v>57</v>
      </c>
      <c r="D24" s="1" t="s">
        <v>61</v>
      </c>
      <c r="E24" s="1" t="s">
        <v>69</v>
      </c>
      <c r="F24" s="1" t="s">
        <v>51</v>
      </c>
      <c r="G24">
        <v>5380</v>
      </c>
      <c r="H24" s="8"/>
      <c r="I24" s="4">
        <v>98</v>
      </c>
      <c r="J24" s="4">
        <v>94</v>
      </c>
      <c r="K24" s="8"/>
      <c r="L24" s="4">
        <v>142</v>
      </c>
      <c r="M24" s="4">
        <v>83</v>
      </c>
      <c r="N24" s="4">
        <v>94</v>
      </c>
      <c r="O24" s="4">
        <v>86</v>
      </c>
      <c r="P24" s="4">
        <v>100.199982215291</v>
      </c>
      <c r="Q24" s="4">
        <v>98.564724679345701</v>
      </c>
      <c r="R24" s="8"/>
      <c r="S24" s="7" t="s">
        <v>33</v>
      </c>
      <c r="U24" s="4">
        <v>315977</v>
      </c>
      <c r="V24" s="4">
        <v>91</v>
      </c>
      <c r="W24" s="4">
        <v>122400</v>
      </c>
      <c r="X24" s="4">
        <v>201327</v>
      </c>
      <c r="Y24" s="4">
        <v>114650</v>
      </c>
      <c r="Z24" s="4">
        <v>120000</v>
      </c>
      <c r="AA24" s="4">
        <v>2400</v>
      </c>
      <c r="AD24" s="4">
        <v>91</v>
      </c>
      <c r="AE24" s="4">
        <v>10305</v>
      </c>
      <c r="AL24" s="4">
        <v>535</v>
      </c>
      <c r="AM24" s="4">
        <v>6275</v>
      </c>
      <c r="AN24" s="4">
        <v>175</v>
      </c>
      <c r="AO24" s="6">
        <v>17958</v>
      </c>
      <c r="AP24" s="6">
        <v>6519</v>
      </c>
      <c r="AQ24" s="6">
        <v>4621</v>
      </c>
      <c r="AR24" s="6">
        <v>6818</v>
      </c>
      <c r="AS24" s="6">
        <v>92.9</v>
      </c>
      <c r="AT24" s="6">
        <v>86.8</v>
      </c>
      <c r="AU24" s="6">
        <v>68.900000000000006</v>
      </c>
      <c r="AW24" s="4">
        <v>54</v>
      </c>
    </row>
    <row r="25" spans="1:49" x14ac:dyDescent="0.2">
      <c r="A25" s="1">
        <v>44702</v>
      </c>
      <c r="B25">
        <f>B24</f>
        <v>11.93</v>
      </c>
      <c r="C25" s="1" t="s">
        <v>57</v>
      </c>
      <c r="D25" s="1" t="s">
        <v>61</v>
      </c>
      <c r="E25" s="1" t="s">
        <v>69</v>
      </c>
      <c r="F25" s="1" t="s">
        <v>51</v>
      </c>
      <c r="G25">
        <v>5367</v>
      </c>
      <c r="H25" s="8"/>
      <c r="I25" s="4">
        <v>99</v>
      </c>
      <c r="J25" s="4">
        <v>92</v>
      </c>
      <c r="K25" s="8"/>
      <c r="L25" s="4">
        <v>107</v>
      </c>
      <c r="M25" s="4">
        <v>77</v>
      </c>
      <c r="N25" s="4">
        <v>95</v>
      </c>
      <c r="O25" s="4">
        <v>81</v>
      </c>
      <c r="P25" s="4">
        <v>85.425349888500506</v>
      </c>
      <c r="Q25" s="4">
        <v>88.670138143310197</v>
      </c>
      <c r="R25" s="8"/>
      <c r="S25" s="7" t="s">
        <v>33</v>
      </c>
      <c r="U25" s="4">
        <v>315977</v>
      </c>
      <c r="V25" s="4">
        <v>161</v>
      </c>
      <c r="W25" s="4">
        <v>122400</v>
      </c>
      <c r="X25" s="4">
        <v>201327</v>
      </c>
      <c r="Y25" s="4">
        <v>114650</v>
      </c>
      <c r="Z25" s="4">
        <v>120000</v>
      </c>
      <c r="AA25" s="4">
        <v>2400</v>
      </c>
      <c r="AD25" s="4">
        <v>161</v>
      </c>
      <c r="AE25" s="4">
        <v>10284</v>
      </c>
      <c r="AL25" s="4">
        <v>448</v>
      </c>
      <c r="AM25" s="4">
        <v>6323</v>
      </c>
      <c r="AN25" s="4">
        <v>184</v>
      </c>
      <c r="AO25" s="6">
        <v>42720</v>
      </c>
      <c r="AP25" s="6">
        <v>16176</v>
      </c>
      <c r="AQ25" s="6">
        <v>11054</v>
      </c>
      <c r="AR25" s="6">
        <v>15490</v>
      </c>
      <c r="AS25" s="6">
        <v>92.9</v>
      </c>
      <c r="AT25" s="6">
        <v>86.8</v>
      </c>
      <c r="AU25" s="6">
        <v>68.900000000000006</v>
      </c>
      <c r="AW25" s="4">
        <v>45</v>
      </c>
    </row>
    <row r="26" spans="1:49" x14ac:dyDescent="0.2">
      <c r="A26" s="1">
        <v>44701</v>
      </c>
      <c r="B26">
        <f t="shared" ref="B26:B30" si="2">B25</f>
        <v>11.93</v>
      </c>
      <c r="C26" s="1" t="s">
        <v>57</v>
      </c>
      <c r="D26" s="1" t="s">
        <v>61</v>
      </c>
      <c r="E26" s="1" t="s">
        <v>69</v>
      </c>
      <c r="F26" s="1" t="s">
        <v>51</v>
      </c>
      <c r="G26">
        <v>5345</v>
      </c>
      <c r="H26" s="8"/>
      <c r="I26" s="4">
        <v>107</v>
      </c>
      <c r="J26" s="4">
        <v>67</v>
      </c>
      <c r="K26" s="8"/>
      <c r="L26" s="4">
        <v>86</v>
      </c>
      <c r="M26" s="4">
        <v>71</v>
      </c>
      <c r="N26" s="4">
        <v>94</v>
      </c>
      <c r="O26" s="4">
        <v>68</v>
      </c>
      <c r="P26" s="4">
        <v>66.222324560932904</v>
      </c>
      <c r="Q26" s="4">
        <v>82.002308873154803</v>
      </c>
      <c r="R26" s="8"/>
      <c r="S26" s="7" t="s">
        <v>33</v>
      </c>
      <c r="U26" s="4">
        <v>315977</v>
      </c>
      <c r="V26" s="4">
        <v>2505</v>
      </c>
      <c r="W26" s="4">
        <v>122400</v>
      </c>
      <c r="X26" s="4">
        <v>201327</v>
      </c>
      <c r="Y26" s="4">
        <v>114650</v>
      </c>
      <c r="Z26" s="4">
        <v>120000</v>
      </c>
      <c r="AA26" s="4">
        <v>2400</v>
      </c>
      <c r="AD26" s="4">
        <v>644</v>
      </c>
      <c r="AE26" s="4">
        <v>12342</v>
      </c>
      <c r="AL26" s="4">
        <v>526</v>
      </c>
      <c r="AM26" s="4">
        <v>6545</v>
      </c>
      <c r="AN26" s="4">
        <v>194</v>
      </c>
      <c r="AO26" s="6">
        <v>28989</v>
      </c>
      <c r="AP26" s="6">
        <v>6503</v>
      </c>
      <c r="AQ26" s="6">
        <v>6514</v>
      </c>
      <c r="AR26" s="6">
        <v>15972</v>
      </c>
      <c r="AS26" s="6">
        <v>92.9</v>
      </c>
      <c r="AT26" s="6">
        <v>86.8</v>
      </c>
      <c r="AU26" s="6">
        <v>68.900000000000006</v>
      </c>
      <c r="AW26" s="4">
        <v>66</v>
      </c>
    </row>
    <row r="27" spans="1:49" x14ac:dyDescent="0.2">
      <c r="A27" s="1">
        <v>44700</v>
      </c>
      <c r="B27">
        <f t="shared" si="2"/>
        <v>11.93</v>
      </c>
      <c r="C27" s="1" t="s">
        <v>57</v>
      </c>
      <c r="D27" s="1" t="s">
        <v>61</v>
      </c>
      <c r="E27" s="1" t="s">
        <v>69</v>
      </c>
      <c r="F27" s="1" t="s">
        <v>51</v>
      </c>
      <c r="G27">
        <v>5325</v>
      </c>
      <c r="H27" s="8"/>
      <c r="I27" s="4">
        <v>106</v>
      </c>
      <c r="J27" s="4">
        <v>70</v>
      </c>
      <c r="K27" s="8"/>
      <c r="L27" s="4">
        <v>118</v>
      </c>
      <c r="M27" s="4">
        <v>79</v>
      </c>
      <c r="N27" s="4">
        <v>98</v>
      </c>
      <c r="O27" s="4">
        <v>71</v>
      </c>
      <c r="P27" s="4">
        <v>72.677368058036393</v>
      </c>
      <c r="Q27" s="4">
        <v>82.616630821211402</v>
      </c>
      <c r="R27" s="8"/>
      <c r="S27" s="7" t="s">
        <v>33</v>
      </c>
      <c r="T27" s="4">
        <v>70599</v>
      </c>
      <c r="U27" s="4">
        <v>315979</v>
      </c>
      <c r="V27" s="4">
        <v>1709</v>
      </c>
      <c r="W27" s="4">
        <v>122400</v>
      </c>
      <c r="X27" s="4">
        <v>201329</v>
      </c>
      <c r="Y27" s="4">
        <v>114650</v>
      </c>
      <c r="Z27" s="4">
        <v>120000</v>
      </c>
      <c r="AA27" s="4">
        <v>2400</v>
      </c>
      <c r="AB27" s="4">
        <v>50227</v>
      </c>
      <c r="AC27" s="4">
        <v>160362</v>
      </c>
      <c r="AD27" s="4">
        <v>497</v>
      </c>
      <c r="AE27" s="4">
        <v>12362</v>
      </c>
      <c r="AF27" s="4">
        <v>223448</v>
      </c>
      <c r="AG27" s="6">
        <v>6798</v>
      </c>
      <c r="AH27" s="6">
        <v>5601</v>
      </c>
      <c r="AI27" s="6">
        <v>1197</v>
      </c>
      <c r="AL27" s="4">
        <v>647</v>
      </c>
      <c r="AM27" s="4">
        <v>6757</v>
      </c>
      <c r="AN27" s="4">
        <v>191</v>
      </c>
      <c r="AO27" s="6">
        <v>35883</v>
      </c>
      <c r="AP27" s="6">
        <v>8931</v>
      </c>
      <c r="AQ27" s="6">
        <v>8074</v>
      </c>
      <c r="AR27" s="6">
        <v>18878</v>
      </c>
      <c r="AS27" s="6">
        <v>92.9</v>
      </c>
      <c r="AT27" s="6">
        <v>86.8</v>
      </c>
      <c r="AU27" s="6">
        <v>68.900000000000006</v>
      </c>
      <c r="AV27" s="4">
        <v>72</v>
      </c>
      <c r="AW27" s="4">
        <v>43</v>
      </c>
    </row>
    <row r="28" spans="1:49" x14ac:dyDescent="0.2">
      <c r="A28" s="1">
        <v>44699</v>
      </c>
      <c r="B28">
        <f t="shared" si="2"/>
        <v>11.93</v>
      </c>
      <c r="C28" s="1" t="s">
        <v>57</v>
      </c>
      <c r="D28" s="1" t="s">
        <v>61</v>
      </c>
      <c r="E28" s="1" t="s">
        <v>69</v>
      </c>
      <c r="F28" s="1" t="s">
        <v>51</v>
      </c>
      <c r="G28">
        <v>5314</v>
      </c>
      <c r="H28" s="8"/>
      <c r="I28" s="4">
        <v>106</v>
      </c>
      <c r="J28" s="4">
        <v>70</v>
      </c>
      <c r="K28" s="8"/>
      <c r="L28" s="4">
        <v>122</v>
      </c>
      <c r="M28" s="4">
        <v>77</v>
      </c>
      <c r="N28" s="4">
        <v>97</v>
      </c>
      <c r="O28" s="4">
        <v>70</v>
      </c>
      <c r="P28" s="4">
        <v>70.628422828910601</v>
      </c>
      <c r="Q28" s="4">
        <v>82.485397303364294</v>
      </c>
      <c r="R28" s="8"/>
      <c r="S28" s="7" t="s">
        <v>33</v>
      </c>
      <c r="T28" s="4">
        <v>83236</v>
      </c>
      <c r="U28" s="4">
        <v>315979</v>
      </c>
      <c r="V28" s="4">
        <v>1287</v>
      </c>
      <c r="W28" s="4">
        <v>122400</v>
      </c>
      <c r="X28" s="4">
        <v>201329</v>
      </c>
      <c r="Y28" s="4">
        <v>114650</v>
      </c>
      <c r="Z28" s="4">
        <v>120000</v>
      </c>
      <c r="AA28" s="4">
        <v>2400</v>
      </c>
      <c r="AB28" s="4">
        <v>59658</v>
      </c>
      <c r="AC28" s="4">
        <v>149885</v>
      </c>
      <c r="AD28" s="4">
        <v>536</v>
      </c>
      <c r="AE28" s="4">
        <v>12644</v>
      </c>
      <c r="AF28" s="4">
        <v>222723</v>
      </c>
      <c r="AG28" s="6">
        <v>7618</v>
      </c>
      <c r="AH28" s="6">
        <v>6353</v>
      </c>
      <c r="AI28" s="6">
        <v>1265</v>
      </c>
      <c r="AL28" s="4">
        <v>708</v>
      </c>
      <c r="AM28" s="4">
        <v>6911</v>
      </c>
      <c r="AN28" s="4">
        <v>188</v>
      </c>
      <c r="AO28" s="6">
        <v>28297</v>
      </c>
      <c r="AP28" s="6">
        <v>5365</v>
      </c>
      <c r="AQ28" s="6">
        <v>5956</v>
      </c>
      <c r="AR28" s="6">
        <v>16976</v>
      </c>
      <c r="AS28" s="6">
        <v>92.9</v>
      </c>
      <c r="AT28" s="6">
        <v>86.8</v>
      </c>
      <c r="AU28" s="6">
        <v>68.8</v>
      </c>
      <c r="AV28" s="4">
        <v>69</v>
      </c>
      <c r="AW28" s="4">
        <v>44</v>
      </c>
    </row>
    <row r="29" spans="1:49" x14ac:dyDescent="0.2">
      <c r="A29" s="1">
        <v>44698</v>
      </c>
      <c r="B29">
        <f t="shared" si="2"/>
        <v>11.93</v>
      </c>
      <c r="C29" s="1" t="s">
        <v>57</v>
      </c>
      <c r="D29" s="1" t="s">
        <v>61</v>
      </c>
      <c r="E29" s="1" t="s">
        <v>69</v>
      </c>
      <c r="F29" s="1" t="s">
        <v>51</v>
      </c>
      <c r="G29">
        <v>5317</v>
      </c>
      <c r="H29" s="8"/>
      <c r="I29" s="4">
        <v>106</v>
      </c>
      <c r="J29" s="4">
        <v>69</v>
      </c>
      <c r="K29" s="8"/>
      <c r="L29" s="4">
        <v>129</v>
      </c>
      <c r="M29" s="4">
        <v>78</v>
      </c>
      <c r="N29" s="4">
        <v>97</v>
      </c>
      <c r="O29" s="4">
        <v>71</v>
      </c>
      <c r="P29" s="4">
        <v>70.138208528956895</v>
      </c>
      <c r="Q29" s="4">
        <v>83.091554685472204</v>
      </c>
      <c r="R29" s="8"/>
      <c r="S29" s="7" t="s">
        <v>33</v>
      </c>
      <c r="T29" s="4">
        <v>81046</v>
      </c>
      <c r="U29" s="4">
        <v>315979</v>
      </c>
      <c r="V29" s="4">
        <v>811</v>
      </c>
      <c r="W29" s="4">
        <v>122400</v>
      </c>
      <c r="X29" s="4">
        <v>201329</v>
      </c>
      <c r="Y29" s="4">
        <v>114650</v>
      </c>
      <c r="Z29" s="4">
        <v>120000</v>
      </c>
      <c r="AA29" s="4">
        <v>2400</v>
      </c>
      <c r="AB29" s="4">
        <v>63074</v>
      </c>
      <c r="AC29" s="4">
        <v>156855</v>
      </c>
      <c r="AD29" s="4">
        <v>513</v>
      </c>
      <c r="AE29" s="4">
        <v>7363</v>
      </c>
      <c r="AF29" s="4">
        <v>227805</v>
      </c>
      <c r="AG29" s="6">
        <v>8262</v>
      </c>
      <c r="AH29" s="6">
        <v>6879</v>
      </c>
      <c r="AI29" s="6">
        <v>1383</v>
      </c>
      <c r="AL29" s="4">
        <v>666</v>
      </c>
      <c r="AM29" s="4">
        <v>7290</v>
      </c>
      <c r="AN29" s="4">
        <v>201</v>
      </c>
      <c r="AO29" s="6">
        <v>28682</v>
      </c>
      <c r="AP29" s="6">
        <v>5431</v>
      </c>
      <c r="AQ29" s="6">
        <v>5921</v>
      </c>
      <c r="AR29" s="6">
        <v>17330</v>
      </c>
      <c r="AS29" s="6">
        <v>92.8</v>
      </c>
      <c r="AT29" s="6">
        <v>86.8</v>
      </c>
      <c r="AU29" s="6">
        <v>68.8</v>
      </c>
      <c r="AV29" s="4">
        <v>93</v>
      </c>
      <c r="AW29" s="4">
        <v>70</v>
      </c>
    </row>
    <row r="30" spans="1:49" x14ac:dyDescent="0.2">
      <c r="A30" s="1">
        <v>44697</v>
      </c>
      <c r="B30">
        <f t="shared" si="2"/>
        <v>11.93</v>
      </c>
      <c r="C30" s="1" t="s">
        <v>57</v>
      </c>
      <c r="D30" s="1" t="s">
        <v>61</v>
      </c>
      <c r="E30" s="1" t="s">
        <v>69</v>
      </c>
      <c r="F30" s="1" t="s">
        <v>51</v>
      </c>
      <c r="G30">
        <v>5301</v>
      </c>
      <c r="H30" s="8"/>
      <c r="I30" s="4">
        <v>107</v>
      </c>
      <c r="J30" s="4">
        <v>66</v>
      </c>
      <c r="K30" s="8"/>
      <c r="L30" s="4">
        <v>115</v>
      </c>
      <c r="M30" s="4">
        <v>77</v>
      </c>
      <c r="N30" s="4">
        <v>98</v>
      </c>
      <c r="O30" s="4">
        <v>67</v>
      </c>
      <c r="P30" s="4">
        <v>64.595097152018198</v>
      </c>
      <c r="Q30" s="4">
        <v>80.556816240941899</v>
      </c>
      <c r="R30" s="8"/>
      <c r="S30" s="7" t="s">
        <v>33</v>
      </c>
      <c r="T30" s="4">
        <v>78789</v>
      </c>
      <c r="U30" s="4">
        <v>315979</v>
      </c>
      <c r="V30" s="4">
        <v>841</v>
      </c>
      <c r="W30" s="4">
        <v>122400</v>
      </c>
      <c r="X30" s="4">
        <v>201329</v>
      </c>
      <c r="Y30" s="4">
        <v>114650</v>
      </c>
      <c r="Z30" s="4">
        <v>120000</v>
      </c>
      <c r="AA30" s="4">
        <v>2400</v>
      </c>
      <c r="AB30" s="4">
        <v>65814</v>
      </c>
      <c r="AC30" s="4">
        <v>218507</v>
      </c>
      <c r="AD30" s="4">
        <v>405</v>
      </c>
      <c r="AE30" s="4">
        <v>7533</v>
      </c>
      <c r="AF30" s="4">
        <v>292259</v>
      </c>
      <c r="AG30" s="6">
        <v>9389</v>
      </c>
      <c r="AH30" s="6">
        <v>7717</v>
      </c>
      <c r="AI30" s="6">
        <v>1672</v>
      </c>
      <c r="AL30" s="4">
        <v>687</v>
      </c>
      <c r="AM30" s="4">
        <v>7636</v>
      </c>
      <c r="AN30" s="4">
        <v>189</v>
      </c>
      <c r="AO30" s="6">
        <v>25988</v>
      </c>
      <c r="AP30" s="6">
        <v>4774</v>
      </c>
      <c r="AQ30" s="6">
        <v>5601</v>
      </c>
      <c r="AR30" s="6">
        <v>15613</v>
      </c>
      <c r="AS30" s="6">
        <v>92.8</v>
      </c>
      <c r="AT30" s="6">
        <v>86.7</v>
      </c>
      <c r="AU30" s="6">
        <v>68.8</v>
      </c>
      <c r="AV30" s="4">
        <v>84</v>
      </c>
      <c r="AW30" s="4">
        <v>62</v>
      </c>
    </row>
    <row r="31" spans="1:49" x14ac:dyDescent="0.2">
      <c r="A31" s="1">
        <v>44696</v>
      </c>
      <c r="B31">
        <v>23.83</v>
      </c>
      <c r="C31" s="1" t="s">
        <v>57</v>
      </c>
      <c r="D31" s="1" t="s">
        <v>61</v>
      </c>
      <c r="E31" s="1" t="s">
        <v>69</v>
      </c>
      <c r="F31" s="1" t="s">
        <v>51</v>
      </c>
      <c r="G31">
        <v>5289</v>
      </c>
      <c r="H31" s="8"/>
      <c r="I31" s="4">
        <v>101</v>
      </c>
      <c r="J31" s="4">
        <v>92</v>
      </c>
      <c r="K31" s="8"/>
      <c r="L31" s="4">
        <v>80</v>
      </c>
      <c r="M31" s="4">
        <v>75</v>
      </c>
      <c r="N31" s="4">
        <v>88</v>
      </c>
      <c r="O31" s="4">
        <v>80</v>
      </c>
      <c r="P31" s="4">
        <v>87.899147017983097</v>
      </c>
      <c r="Q31" s="4">
        <v>91.588030142372901</v>
      </c>
      <c r="R31" s="8"/>
      <c r="S31" s="7" t="s">
        <v>33</v>
      </c>
      <c r="T31" s="4">
        <v>59654</v>
      </c>
      <c r="U31" s="4">
        <v>315979</v>
      </c>
      <c r="V31" s="4">
        <v>662</v>
      </c>
      <c r="W31" s="4">
        <v>122400</v>
      </c>
      <c r="X31" s="4">
        <v>201329</v>
      </c>
      <c r="Y31" s="4">
        <v>114650</v>
      </c>
      <c r="Z31" s="4">
        <v>120000</v>
      </c>
      <c r="AA31" s="4">
        <v>2400</v>
      </c>
      <c r="AB31" s="4">
        <v>42910</v>
      </c>
      <c r="AC31" s="4">
        <v>116263</v>
      </c>
      <c r="AD31" s="4">
        <v>662</v>
      </c>
      <c r="AE31" s="4">
        <v>10855</v>
      </c>
      <c r="AF31" s="4">
        <v>170690</v>
      </c>
      <c r="AG31" s="6">
        <v>7943</v>
      </c>
      <c r="AH31" s="6">
        <v>6660</v>
      </c>
      <c r="AI31" s="6">
        <v>1283</v>
      </c>
      <c r="AJ31" s="6">
        <v>-14868</v>
      </c>
      <c r="AK31" s="6">
        <v>-20.5</v>
      </c>
      <c r="AL31" s="4">
        <v>631</v>
      </c>
      <c r="AM31" s="4">
        <v>7823</v>
      </c>
      <c r="AN31" s="4">
        <v>199</v>
      </c>
      <c r="AO31" s="6">
        <v>23918</v>
      </c>
      <c r="AP31" s="6">
        <v>10090</v>
      </c>
      <c r="AQ31" s="6">
        <v>5709</v>
      </c>
      <c r="AR31" s="6">
        <v>8119</v>
      </c>
      <c r="AS31" s="6">
        <v>92.8</v>
      </c>
      <c r="AT31" s="6">
        <v>86.7</v>
      </c>
      <c r="AU31" s="6">
        <v>68.7</v>
      </c>
      <c r="AV31" s="4">
        <v>88</v>
      </c>
      <c r="AW31" s="4">
        <v>66</v>
      </c>
    </row>
    <row r="32" spans="1:49" x14ac:dyDescent="0.2">
      <c r="A32" s="1">
        <v>44695</v>
      </c>
      <c r="B32">
        <f>B31</f>
        <v>23.83</v>
      </c>
      <c r="C32" s="1" t="s">
        <v>57</v>
      </c>
      <c r="D32" s="1" t="s">
        <v>61</v>
      </c>
      <c r="E32" s="1" t="s">
        <v>69</v>
      </c>
      <c r="F32" s="1" t="s">
        <v>51</v>
      </c>
      <c r="G32">
        <v>5274</v>
      </c>
      <c r="H32" s="8"/>
      <c r="I32" s="4">
        <v>98</v>
      </c>
      <c r="J32" s="4">
        <v>92</v>
      </c>
      <c r="K32" s="8"/>
      <c r="L32" s="4">
        <v>119</v>
      </c>
      <c r="M32" s="4">
        <v>76</v>
      </c>
      <c r="N32" s="4">
        <v>96</v>
      </c>
      <c r="O32" s="4">
        <v>81</v>
      </c>
      <c r="P32" s="4">
        <v>83.104957314011003</v>
      </c>
      <c r="Q32" s="4">
        <v>90.257075499784193</v>
      </c>
      <c r="R32" s="8"/>
      <c r="S32" s="7" t="s">
        <v>33</v>
      </c>
      <c r="T32" s="4">
        <v>65316</v>
      </c>
      <c r="U32" s="4">
        <v>315979</v>
      </c>
      <c r="V32" s="4">
        <v>180</v>
      </c>
      <c r="W32" s="4">
        <v>122400</v>
      </c>
      <c r="X32" s="4">
        <v>201329</v>
      </c>
      <c r="Y32" s="4">
        <v>114650</v>
      </c>
      <c r="Z32" s="4">
        <v>120000</v>
      </c>
      <c r="AA32" s="4">
        <v>2400</v>
      </c>
      <c r="AB32" s="4">
        <v>44835</v>
      </c>
      <c r="AC32" s="4">
        <v>110135</v>
      </c>
      <c r="AD32" s="4">
        <v>180</v>
      </c>
      <c r="AE32" s="4">
        <v>10855</v>
      </c>
      <c r="AF32" s="4">
        <v>166005</v>
      </c>
      <c r="AG32" s="6">
        <v>6100</v>
      </c>
      <c r="AH32" s="6">
        <v>5141</v>
      </c>
      <c r="AI32" s="6">
        <v>959</v>
      </c>
      <c r="AJ32" s="6">
        <v>-13746</v>
      </c>
      <c r="AK32" s="6">
        <v>-19</v>
      </c>
      <c r="AL32" s="4">
        <v>612</v>
      </c>
      <c r="AM32" s="4">
        <v>7838</v>
      </c>
      <c r="AN32" s="4">
        <v>197</v>
      </c>
      <c r="AO32" s="6">
        <v>49184</v>
      </c>
      <c r="AP32" s="6">
        <v>20462</v>
      </c>
      <c r="AQ32" s="6">
        <v>12824</v>
      </c>
      <c r="AR32" s="6">
        <v>15898</v>
      </c>
      <c r="AS32" s="6">
        <v>92.8</v>
      </c>
      <c r="AT32" s="6">
        <v>86.7</v>
      </c>
      <c r="AU32" s="6">
        <v>68.7</v>
      </c>
      <c r="AV32" s="4">
        <v>89</v>
      </c>
      <c r="AW32" s="4">
        <v>62</v>
      </c>
    </row>
    <row r="33" spans="1:49" x14ac:dyDescent="0.2">
      <c r="A33" s="1">
        <v>44694</v>
      </c>
      <c r="B33">
        <f t="shared" ref="B33:B37" si="3">B32</f>
        <v>23.83</v>
      </c>
      <c r="C33" s="1" t="s">
        <v>57</v>
      </c>
      <c r="D33" s="1" t="s">
        <v>61</v>
      </c>
      <c r="E33" s="1" t="s">
        <v>69</v>
      </c>
      <c r="F33" s="1" t="s">
        <v>51</v>
      </c>
      <c r="G33">
        <v>5272</v>
      </c>
      <c r="H33" s="8"/>
      <c r="I33" s="4">
        <v>106</v>
      </c>
      <c r="J33" s="4">
        <v>68</v>
      </c>
      <c r="K33" s="8"/>
      <c r="L33" s="4">
        <v>108</v>
      </c>
      <c r="M33" s="4">
        <v>74</v>
      </c>
      <c r="N33" s="4">
        <v>98</v>
      </c>
      <c r="O33" s="4">
        <v>68</v>
      </c>
      <c r="P33" s="4">
        <v>65.182122572933494</v>
      </c>
      <c r="Q33" s="4">
        <v>83.999377386127904</v>
      </c>
      <c r="R33" s="8"/>
      <c r="S33" s="7" t="s">
        <v>33</v>
      </c>
      <c r="T33" s="4">
        <v>94727</v>
      </c>
      <c r="U33" s="4">
        <v>315979</v>
      </c>
      <c r="V33" s="4">
        <v>979</v>
      </c>
      <c r="W33" s="4">
        <v>122400</v>
      </c>
      <c r="X33" s="4">
        <v>201329</v>
      </c>
      <c r="Y33" s="4">
        <v>114650</v>
      </c>
      <c r="Z33" s="4">
        <v>120000</v>
      </c>
      <c r="AA33" s="4">
        <v>2400</v>
      </c>
      <c r="AB33" s="4">
        <v>64077</v>
      </c>
      <c r="AC33" s="4">
        <v>174142</v>
      </c>
      <c r="AD33" s="4">
        <v>82</v>
      </c>
      <c r="AE33" s="4">
        <v>11482</v>
      </c>
      <c r="AF33" s="4">
        <v>249783</v>
      </c>
      <c r="AG33" s="6">
        <v>6888</v>
      </c>
      <c r="AH33" s="6">
        <v>5847</v>
      </c>
      <c r="AI33" s="6">
        <v>1041</v>
      </c>
      <c r="AJ33" s="6">
        <v>-13172</v>
      </c>
      <c r="AK33" s="6">
        <v>-18</v>
      </c>
      <c r="AL33" s="4">
        <v>624</v>
      </c>
      <c r="AM33" s="4">
        <v>8179</v>
      </c>
      <c r="AN33" s="4">
        <v>189</v>
      </c>
      <c r="AO33" s="6">
        <v>31687</v>
      </c>
      <c r="AP33" s="6">
        <v>7513</v>
      </c>
      <c r="AQ33" s="6">
        <v>7150</v>
      </c>
      <c r="AR33" s="6">
        <v>17024</v>
      </c>
      <c r="AS33" s="6">
        <v>92.8</v>
      </c>
      <c r="AT33" s="6">
        <v>86.7</v>
      </c>
      <c r="AU33" s="6">
        <v>68.7</v>
      </c>
      <c r="AV33" s="4">
        <v>95</v>
      </c>
      <c r="AW33" s="4">
        <v>66</v>
      </c>
    </row>
    <row r="34" spans="1:49" x14ac:dyDescent="0.2">
      <c r="A34" s="1">
        <v>44693</v>
      </c>
      <c r="B34">
        <f t="shared" si="3"/>
        <v>23.83</v>
      </c>
      <c r="C34" s="1" t="s">
        <v>57</v>
      </c>
      <c r="D34" s="1" t="s">
        <v>61</v>
      </c>
      <c r="E34" s="1" t="s">
        <v>69</v>
      </c>
      <c r="F34" s="1" t="s">
        <v>51</v>
      </c>
      <c r="G34">
        <v>5269</v>
      </c>
      <c r="H34" s="8"/>
      <c r="I34" s="4">
        <v>106</v>
      </c>
      <c r="J34" s="4">
        <v>70</v>
      </c>
      <c r="K34" s="8"/>
      <c r="L34" s="4">
        <v>106</v>
      </c>
      <c r="M34" s="4">
        <v>79</v>
      </c>
      <c r="N34" s="4">
        <v>97</v>
      </c>
      <c r="O34" s="4">
        <v>71</v>
      </c>
      <c r="P34" s="4">
        <v>71.819784418719394</v>
      </c>
      <c r="Q34" s="4">
        <v>83.393957582484802</v>
      </c>
      <c r="R34" s="8"/>
      <c r="S34" s="7" t="s">
        <v>33</v>
      </c>
      <c r="T34" s="4">
        <v>74367</v>
      </c>
      <c r="U34" s="4">
        <v>315973</v>
      </c>
      <c r="V34" s="4">
        <v>1264</v>
      </c>
      <c r="W34" s="4">
        <v>122400</v>
      </c>
      <c r="X34" s="4">
        <v>201323</v>
      </c>
      <c r="Y34" s="4">
        <v>114650</v>
      </c>
      <c r="Z34" s="4">
        <v>120000</v>
      </c>
      <c r="AA34" s="4">
        <v>2400</v>
      </c>
      <c r="AB34" s="4">
        <v>54050</v>
      </c>
      <c r="AC34" s="4">
        <v>183577</v>
      </c>
      <c r="AD34" s="4">
        <v>670</v>
      </c>
      <c r="AE34" s="4">
        <v>11775</v>
      </c>
      <c r="AF34" s="4">
        <v>250072</v>
      </c>
      <c r="AG34" s="6">
        <v>7614</v>
      </c>
      <c r="AH34" s="6">
        <v>6411</v>
      </c>
      <c r="AI34" s="6">
        <v>1203</v>
      </c>
      <c r="AJ34" s="6">
        <v>-12215</v>
      </c>
      <c r="AK34" s="6">
        <v>-16.399999999999899</v>
      </c>
      <c r="AL34" s="4">
        <v>781</v>
      </c>
      <c r="AM34" s="4">
        <v>8485</v>
      </c>
      <c r="AN34" s="4">
        <v>191</v>
      </c>
      <c r="AO34" s="6">
        <v>35034</v>
      </c>
      <c r="AP34" s="6">
        <v>7488</v>
      </c>
      <c r="AQ34" s="6">
        <v>7531</v>
      </c>
      <c r="AR34" s="6">
        <v>20015</v>
      </c>
      <c r="AS34" s="6">
        <v>92.8</v>
      </c>
      <c r="AT34" s="6">
        <v>86.7</v>
      </c>
      <c r="AU34" s="6">
        <v>68.7</v>
      </c>
      <c r="AV34" s="4">
        <v>118</v>
      </c>
      <c r="AW34" s="4">
        <v>64</v>
      </c>
    </row>
    <row r="35" spans="1:49" x14ac:dyDescent="0.2">
      <c r="A35" s="1">
        <v>44692</v>
      </c>
      <c r="B35">
        <f t="shared" si="3"/>
        <v>23.83</v>
      </c>
      <c r="C35" s="1" t="s">
        <v>57</v>
      </c>
      <c r="D35" s="1" t="s">
        <v>61</v>
      </c>
      <c r="E35" s="1" t="s">
        <v>69</v>
      </c>
      <c r="F35" s="1" t="s">
        <v>51</v>
      </c>
      <c r="G35">
        <v>5244</v>
      </c>
      <c r="H35" s="8"/>
      <c r="I35" s="4">
        <v>107</v>
      </c>
      <c r="J35" s="4">
        <v>69</v>
      </c>
      <c r="K35" s="8"/>
      <c r="L35" s="4">
        <v>80</v>
      </c>
      <c r="M35" s="4">
        <v>72</v>
      </c>
      <c r="N35" s="4">
        <v>91</v>
      </c>
      <c r="O35" s="4">
        <v>69</v>
      </c>
      <c r="P35" s="4">
        <v>69.623523376526606</v>
      </c>
      <c r="Q35" s="4">
        <v>79.465516001556196</v>
      </c>
      <c r="R35" s="8"/>
      <c r="S35" s="7" t="s">
        <v>33</v>
      </c>
      <c r="T35" s="4">
        <v>80398</v>
      </c>
      <c r="U35" s="4">
        <v>315973</v>
      </c>
      <c r="V35" s="4">
        <v>2416</v>
      </c>
      <c r="W35" s="4">
        <v>132400</v>
      </c>
      <c r="X35" s="4">
        <v>201323</v>
      </c>
      <c r="Y35" s="4">
        <v>114650</v>
      </c>
      <c r="Z35" s="4">
        <v>130000</v>
      </c>
      <c r="AA35" s="4">
        <v>2400</v>
      </c>
      <c r="AB35" s="4">
        <v>57549</v>
      </c>
      <c r="AC35" s="4">
        <v>169923</v>
      </c>
      <c r="AD35" s="4">
        <v>615</v>
      </c>
      <c r="AE35" s="4">
        <v>13375</v>
      </c>
      <c r="AF35" s="4">
        <v>241462</v>
      </c>
      <c r="AG35" s="6">
        <v>8695</v>
      </c>
      <c r="AH35" s="6">
        <v>7278</v>
      </c>
      <c r="AI35" s="6">
        <v>1417</v>
      </c>
      <c r="AJ35" s="6">
        <v>-11036</v>
      </c>
      <c r="AK35" s="6">
        <v>-14.5999999999999</v>
      </c>
      <c r="AL35" s="4">
        <v>774</v>
      </c>
      <c r="AM35" s="4">
        <v>8946</v>
      </c>
      <c r="AN35" s="4">
        <v>202</v>
      </c>
      <c r="AO35" s="6">
        <v>36016</v>
      </c>
      <c r="AP35" s="6">
        <v>6801</v>
      </c>
      <c r="AQ35" s="6">
        <v>8001</v>
      </c>
      <c r="AR35" s="6">
        <v>21214</v>
      </c>
      <c r="AS35" s="6">
        <v>92.7</v>
      </c>
      <c r="AT35" s="6">
        <v>86.7</v>
      </c>
      <c r="AU35" s="6">
        <v>68.599999999999994</v>
      </c>
      <c r="AV35" s="4">
        <v>109</v>
      </c>
      <c r="AW35" s="4">
        <v>76</v>
      </c>
    </row>
    <row r="36" spans="1:49" x14ac:dyDescent="0.2">
      <c r="A36" s="1">
        <v>44691</v>
      </c>
      <c r="B36">
        <f t="shared" si="3"/>
        <v>23.83</v>
      </c>
      <c r="C36" s="1" t="s">
        <v>57</v>
      </c>
      <c r="D36" s="1" t="s">
        <v>61</v>
      </c>
      <c r="E36" s="1" t="s">
        <v>69</v>
      </c>
      <c r="F36" s="1" t="s">
        <v>51</v>
      </c>
      <c r="G36">
        <v>5235</v>
      </c>
      <c r="H36" s="8"/>
      <c r="I36" s="4">
        <v>106</v>
      </c>
      <c r="J36" s="4">
        <v>68</v>
      </c>
      <c r="K36" s="8"/>
      <c r="L36" s="4">
        <v>99</v>
      </c>
      <c r="M36" s="4">
        <v>74</v>
      </c>
      <c r="N36" s="4">
        <v>95</v>
      </c>
      <c r="O36" s="4">
        <v>69</v>
      </c>
      <c r="P36" s="4">
        <v>68.144312095661107</v>
      </c>
      <c r="Q36" s="4">
        <v>81.751821449861197</v>
      </c>
      <c r="R36" s="8"/>
      <c r="S36" s="7" t="s">
        <v>33</v>
      </c>
      <c r="T36" s="4">
        <v>85164</v>
      </c>
      <c r="U36" s="4">
        <v>315973</v>
      </c>
      <c r="V36" s="4">
        <v>1846</v>
      </c>
      <c r="W36" s="4">
        <v>132400</v>
      </c>
      <c r="X36" s="4">
        <v>201323</v>
      </c>
      <c r="Y36" s="4">
        <v>114650</v>
      </c>
      <c r="Z36" s="4">
        <v>130000</v>
      </c>
      <c r="AA36" s="4">
        <v>2400</v>
      </c>
      <c r="AB36" s="4">
        <v>66434</v>
      </c>
      <c r="AC36" s="4">
        <v>175449</v>
      </c>
      <c r="AD36" s="4">
        <v>465</v>
      </c>
      <c r="AE36" s="4">
        <v>8897</v>
      </c>
      <c r="AF36" s="4">
        <v>251245</v>
      </c>
      <c r="AG36" s="6">
        <v>9711</v>
      </c>
      <c r="AH36" s="6">
        <v>8106</v>
      </c>
      <c r="AI36" s="6">
        <v>1605</v>
      </c>
      <c r="AJ36" s="6">
        <v>-9455</v>
      </c>
      <c r="AK36" s="6">
        <v>-12.3</v>
      </c>
      <c r="AL36" s="4">
        <v>861</v>
      </c>
      <c r="AM36" s="4">
        <v>9343</v>
      </c>
      <c r="AN36" s="4">
        <v>203</v>
      </c>
      <c r="AO36" s="6">
        <v>35272</v>
      </c>
      <c r="AP36" s="6">
        <v>7224</v>
      </c>
      <c r="AQ36" s="6">
        <v>7909</v>
      </c>
      <c r="AR36" s="6">
        <v>20139</v>
      </c>
      <c r="AS36" s="6">
        <v>92.7</v>
      </c>
      <c r="AT36" s="6">
        <v>86.7</v>
      </c>
      <c r="AU36" s="6">
        <v>68.599999999999994</v>
      </c>
      <c r="AV36" s="4">
        <v>120</v>
      </c>
      <c r="AW36" s="4">
        <v>91</v>
      </c>
    </row>
    <row r="37" spans="1:49" x14ac:dyDescent="0.2">
      <c r="A37" s="1">
        <v>44690</v>
      </c>
      <c r="B37">
        <f t="shared" si="3"/>
        <v>23.83</v>
      </c>
      <c r="C37" s="1" t="s">
        <v>57</v>
      </c>
      <c r="D37" s="1" t="s">
        <v>61</v>
      </c>
      <c r="E37" s="1" t="s">
        <v>69</v>
      </c>
      <c r="F37" s="1" t="s">
        <v>51</v>
      </c>
      <c r="G37">
        <v>5230</v>
      </c>
      <c r="H37" s="8"/>
      <c r="I37" s="4">
        <v>107</v>
      </c>
      <c r="J37" s="4">
        <v>66</v>
      </c>
      <c r="K37" s="8"/>
      <c r="L37" s="4">
        <v>122</v>
      </c>
      <c r="M37" s="4">
        <v>77</v>
      </c>
      <c r="N37" s="4">
        <v>98</v>
      </c>
      <c r="O37" s="4">
        <v>67</v>
      </c>
      <c r="P37" s="4">
        <v>63.185885140091102</v>
      </c>
      <c r="Q37" s="4">
        <v>81.133816906592202</v>
      </c>
      <c r="R37" s="8"/>
      <c r="S37" s="7" t="s">
        <v>33</v>
      </c>
      <c r="T37" s="4">
        <v>84869</v>
      </c>
      <c r="U37" s="4">
        <v>315973</v>
      </c>
      <c r="V37" s="4">
        <v>384</v>
      </c>
      <c r="W37" s="4">
        <v>132400</v>
      </c>
      <c r="X37" s="4">
        <v>201323</v>
      </c>
      <c r="Y37" s="4">
        <v>114650</v>
      </c>
      <c r="Z37" s="4">
        <v>130000</v>
      </c>
      <c r="AA37" s="4">
        <v>2400</v>
      </c>
      <c r="AB37" s="4">
        <v>69623</v>
      </c>
      <c r="AC37" s="4">
        <v>234189</v>
      </c>
      <c r="AD37" s="4">
        <v>384</v>
      </c>
      <c r="AE37" s="4">
        <v>7798</v>
      </c>
      <c r="AF37" s="4">
        <v>311994</v>
      </c>
      <c r="AG37" s="6">
        <v>10678</v>
      </c>
      <c r="AH37" s="6">
        <v>8885</v>
      </c>
      <c r="AI37" s="6">
        <v>1793</v>
      </c>
      <c r="AJ37" s="6">
        <v>-7153</v>
      </c>
      <c r="AK37" s="6">
        <v>-9.0999999999999908</v>
      </c>
      <c r="AL37" s="4">
        <v>844</v>
      </c>
      <c r="AM37" s="4">
        <v>9664</v>
      </c>
      <c r="AN37" s="4">
        <v>213</v>
      </c>
      <c r="AO37" s="6">
        <v>31771</v>
      </c>
      <c r="AP37" s="6">
        <v>5910</v>
      </c>
      <c r="AQ37" s="6">
        <v>7601</v>
      </c>
      <c r="AR37" s="6">
        <v>18260</v>
      </c>
      <c r="AS37" s="6">
        <v>92.7</v>
      </c>
      <c r="AT37" s="6">
        <v>86.6</v>
      </c>
      <c r="AU37" s="6">
        <v>68.599999999999994</v>
      </c>
      <c r="AV37" s="4">
        <v>115</v>
      </c>
      <c r="AW37" s="4">
        <v>76</v>
      </c>
    </row>
    <row r="38" spans="1:49" x14ac:dyDescent="0.2">
      <c r="A38" s="1">
        <v>44689</v>
      </c>
      <c r="B38">
        <v>-0.92</v>
      </c>
      <c r="C38" s="1" t="s">
        <v>57</v>
      </c>
      <c r="D38" s="1" t="s">
        <v>61</v>
      </c>
      <c r="E38" s="1" t="s">
        <v>69</v>
      </c>
      <c r="F38" s="1" t="s">
        <v>51</v>
      </c>
      <c r="G38">
        <v>5211</v>
      </c>
      <c r="H38" s="8"/>
      <c r="I38" s="4">
        <v>99</v>
      </c>
      <c r="J38" s="4">
        <v>95</v>
      </c>
      <c r="K38" s="8"/>
      <c r="L38" s="4">
        <v>141</v>
      </c>
      <c r="M38" s="4">
        <v>82</v>
      </c>
      <c r="N38" s="4">
        <v>94</v>
      </c>
      <c r="O38" s="4">
        <v>82</v>
      </c>
      <c r="P38" s="4">
        <v>91.570512952056504</v>
      </c>
      <c r="Q38" s="4">
        <v>99.525993970597895</v>
      </c>
      <c r="R38" s="8"/>
      <c r="S38" s="7" t="s">
        <v>33</v>
      </c>
      <c r="T38" s="4">
        <v>66803</v>
      </c>
      <c r="U38" s="4">
        <v>315973</v>
      </c>
      <c r="V38" s="4">
        <v>160</v>
      </c>
      <c r="W38" s="4">
        <v>132400</v>
      </c>
      <c r="X38" s="4">
        <v>201323</v>
      </c>
      <c r="Y38" s="4">
        <v>114650</v>
      </c>
      <c r="Z38" s="4">
        <v>130000</v>
      </c>
      <c r="AA38" s="4">
        <v>2400</v>
      </c>
      <c r="AB38" s="4">
        <v>49562</v>
      </c>
      <c r="AC38" s="4">
        <v>128323</v>
      </c>
      <c r="AD38" s="4">
        <v>160</v>
      </c>
      <c r="AE38" s="4">
        <v>9937</v>
      </c>
      <c r="AF38" s="4">
        <v>187982</v>
      </c>
      <c r="AG38" s="6">
        <v>9044</v>
      </c>
      <c r="AH38" s="6">
        <v>7586</v>
      </c>
      <c r="AI38" s="6">
        <v>1458</v>
      </c>
      <c r="AJ38" s="6">
        <v>-11164</v>
      </c>
      <c r="AK38" s="6">
        <v>-13.3</v>
      </c>
      <c r="AL38" s="4">
        <v>755</v>
      </c>
      <c r="AM38" s="4">
        <v>9748</v>
      </c>
      <c r="AN38" s="4">
        <v>227</v>
      </c>
      <c r="AO38" s="6">
        <v>26951</v>
      </c>
      <c r="AP38" s="6">
        <v>10662</v>
      </c>
      <c r="AQ38" s="6">
        <v>7490</v>
      </c>
      <c r="AR38" s="6">
        <v>8799</v>
      </c>
      <c r="AS38" s="6">
        <v>92.7</v>
      </c>
      <c r="AT38" s="6">
        <v>86.6</v>
      </c>
      <c r="AU38" s="6">
        <v>68.5</v>
      </c>
      <c r="AV38" s="4">
        <v>113</v>
      </c>
      <c r="AW38" s="4">
        <v>80</v>
      </c>
    </row>
    <row r="39" spans="1:49" x14ac:dyDescent="0.2">
      <c r="A39" s="1">
        <v>44688</v>
      </c>
      <c r="B39">
        <f>B38</f>
        <v>-0.92</v>
      </c>
      <c r="C39" s="1" t="s">
        <v>57</v>
      </c>
      <c r="D39" s="1" t="s">
        <v>61</v>
      </c>
      <c r="E39" s="1" t="s">
        <v>69</v>
      </c>
      <c r="F39" s="1" t="s">
        <v>51</v>
      </c>
      <c r="G39">
        <v>5202</v>
      </c>
      <c r="H39" s="8"/>
      <c r="I39" s="4">
        <v>100</v>
      </c>
      <c r="J39" s="4">
        <v>92</v>
      </c>
      <c r="K39" s="8"/>
      <c r="L39" s="4">
        <v>91</v>
      </c>
      <c r="M39" s="4">
        <v>76</v>
      </c>
      <c r="N39" s="4">
        <v>93</v>
      </c>
      <c r="O39" s="4">
        <v>78</v>
      </c>
      <c r="P39" s="4">
        <v>78.564111464280003</v>
      </c>
      <c r="Q39" s="4">
        <v>88.057667859135705</v>
      </c>
      <c r="R39" s="8"/>
      <c r="S39" s="7" t="s">
        <v>33</v>
      </c>
      <c r="T39" s="4">
        <v>73147</v>
      </c>
      <c r="U39" s="4">
        <v>315973</v>
      </c>
      <c r="V39" s="4">
        <v>272</v>
      </c>
      <c r="W39" s="4">
        <v>132400</v>
      </c>
      <c r="X39" s="4">
        <v>201323</v>
      </c>
      <c r="Y39" s="4">
        <v>114650</v>
      </c>
      <c r="Z39" s="4">
        <v>130000</v>
      </c>
      <c r="AA39" s="4">
        <v>2400</v>
      </c>
      <c r="AB39" s="4">
        <v>49507</v>
      </c>
      <c r="AC39" s="4">
        <v>128541</v>
      </c>
      <c r="AD39" s="4">
        <v>272</v>
      </c>
      <c r="AE39" s="4">
        <v>9853</v>
      </c>
      <c r="AF39" s="4">
        <v>188173</v>
      </c>
      <c r="AG39" s="6">
        <v>7515</v>
      </c>
      <c r="AH39" s="6">
        <v>6436</v>
      </c>
      <c r="AI39" s="6">
        <v>1079</v>
      </c>
      <c r="AJ39" s="6">
        <v>-16876</v>
      </c>
      <c r="AK39" s="6">
        <v>-18.899999999999899</v>
      </c>
      <c r="AL39" s="4">
        <v>702</v>
      </c>
      <c r="AM39" s="4">
        <v>9804</v>
      </c>
      <c r="AN39" s="4">
        <v>226</v>
      </c>
      <c r="AO39" s="6">
        <v>60876</v>
      </c>
      <c r="AP39" s="6">
        <v>24460</v>
      </c>
      <c r="AQ39" s="6">
        <v>15741</v>
      </c>
      <c r="AR39" s="6">
        <v>20675</v>
      </c>
      <c r="AS39" s="6">
        <v>92.7</v>
      </c>
      <c r="AT39" s="6">
        <v>86.6</v>
      </c>
      <c r="AU39" s="6">
        <v>68.5</v>
      </c>
      <c r="AV39" s="4">
        <v>134</v>
      </c>
      <c r="AW39" s="4">
        <v>95</v>
      </c>
    </row>
    <row r="40" spans="1:49" x14ac:dyDescent="0.2">
      <c r="A40" s="1">
        <v>44687</v>
      </c>
      <c r="B40">
        <f t="shared" ref="B40:B44" si="4">B39</f>
        <v>-0.92</v>
      </c>
      <c r="C40" s="1" t="s">
        <v>57</v>
      </c>
      <c r="D40" s="1" t="s">
        <v>61</v>
      </c>
      <c r="E40" s="1" t="s">
        <v>69</v>
      </c>
      <c r="F40" s="1" t="s">
        <v>51</v>
      </c>
      <c r="G40">
        <v>5184</v>
      </c>
      <c r="H40" s="8"/>
      <c r="I40" s="4">
        <v>106</v>
      </c>
      <c r="J40" s="4">
        <v>68</v>
      </c>
      <c r="K40" s="8"/>
      <c r="L40" s="4">
        <v>110</v>
      </c>
      <c r="M40" s="4">
        <v>75</v>
      </c>
      <c r="N40" s="4">
        <v>97</v>
      </c>
      <c r="O40" s="4">
        <v>68</v>
      </c>
      <c r="P40" s="4">
        <v>64.876121568556698</v>
      </c>
      <c r="Q40" s="4">
        <v>83.809285889342803</v>
      </c>
      <c r="R40" s="8"/>
      <c r="S40" s="7" t="s">
        <v>33</v>
      </c>
      <c r="T40" s="4">
        <v>87642</v>
      </c>
      <c r="U40" s="4">
        <v>315973</v>
      </c>
      <c r="V40" s="4">
        <v>1633</v>
      </c>
      <c r="W40" s="4">
        <v>132400</v>
      </c>
      <c r="X40" s="4">
        <v>201323</v>
      </c>
      <c r="Y40" s="4">
        <v>114650</v>
      </c>
      <c r="Z40" s="4">
        <v>130000</v>
      </c>
      <c r="AA40" s="4">
        <v>2400</v>
      </c>
      <c r="AB40" s="4">
        <v>61748</v>
      </c>
      <c r="AC40" s="4">
        <v>186807</v>
      </c>
      <c r="AD40" s="4">
        <v>1157</v>
      </c>
      <c r="AE40" s="4">
        <v>12248</v>
      </c>
      <c r="AF40" s="4">
        <v>261960</v>
      </c>
      <c r="AG40" s="6">
        <v>8920</v>
      </c>
      <c r="AH40" s="6">
        <v>7569</v>
      </c>
      <c r="AI40" s="6">
        <v>1351</v>
      </c>
      <c r="AJ40" s="6">
        <v>-20883</v>
      </c>
      <c r="AK40" s="6">
        <v>-22.1999999999999</v>
      </c>
      <c r="AL40" s="4">
        <v>819</v>
      </c>
      <c r="AM40" s="4">
        <v>10307</v>
      </c>
      <c r="AN40" s="4">
        <v>237</v>
      </c>
      <c r="AO40" s="6">
        <v>38622</v>
      </c>
      <c r="AP40" s="6">
        <v>9588</v>
      </c>
      <c r="AQ40" s="6">
        <v>9434</v>
      </c>
      <c r="AR40" s="6">
        <v>19600</v>
      </c>
      <c r="AS40" s="6">
        <v>92.7</v>
      </c>
      <c r="AT40" s="6">
        <v>86.6</v>
      </c>
      <c r="AU40" s="6">
        <v>68.5</v>
      </c>
      <c r="AV40" s="4">
        <v>133</v>
      </c>
      <c r="AW40" s="4">
        <v>90</v>
      </c>
    </row>
    <row r="41" spans="1:49" x14ac:dyDescent="0.2">
      <c r="A41" s="1">
        <v>44686</v>
      </c>
      <c r="B41">
        <f t="shared" si="4"/>
        <v>-0.92</v>
      </c>
      <c r="C41" s="1" t="s">
        <v>57</v>
      </c>
      <c r="D41" s="1" t="s">
        <v>61</v>
      </c>
      <c r="E41" s="1" t="s">
        <v>69</v>
      </c>
      <c r="F41" s="1" t="s">
        <v>51</v>
      </c>
      <c r="G41">
        <v>5144</v>
      </c>
      <c r="H41" s="8"/>
      <c r="I41" s="4">
        <v>106</v>
      </c>
      <c r="J41" s="4">
        <v>69</v>
      </c>
      <c r="K41" s="8"/>
      <c r="L41" s="4">
        <v>119</v>
      </c>
      <c r="M41" s="4">
        <v>79</v>
      </c>
      <c r="N41" s="4">
        <v>99</v>
      </c>
      <c r="O41" s="4">
        <v>70</v>
      </c>
      <c r="P41" s="4">
        <v>70.355518593944495</v>
      </c>
      <c r="Q41" s="4">
        <v>83.4572198029568</v>
      </c>
      <c r="R41" s="8"/>
      <c r="S41" s="7" t="s">
        <v>33</v>
      </c>
      <c r="T41" s="4">
        <v>89208</v>
      </c>
      <c r="U41" s="4">
        <v>315293</v>
      </c>
      <c r="V41" s="4">
        <v>2738</v>
      </c>
      <c r="W41" s="4">
        <v>132400</v>
      </c>
      <c r="X41" s="4">
        <v>200643</v>
      </c>
      <c r="Y41" s="4">
        <v>114650</v>
      </c>
      <c r="Z41" s="4">
        <v>130000</v>
      </c>
      <c r="AA41" s="4">
        <v>2400</v>
      </c>
      <c r="AB41" s="4">
        <v>60656</v>
      </c>
      <c r="AC41" s="4">
        <v>208167</v>
      </c>
      <c r="AD41" s="4">
        <v>751</v>
      </c>
      <c r="AE41" s="4">
        <v>13150</v>
      </c>
      <c r="AF41" s="4">
        <v>282724</v>
      </c>
      <c r="AG41" s="6">
        <v>10190</v>
      </c>
      <c r="AH41" s="6">
        <v>8578</v>
      </c>
      <c r="AI41" s="6">
        <v>1612</v>
      </c>
      <c r="AJ41" s="6">
        <v>-25502</v>
      </c>
      <c r="AK41" s="6">
        <v>-25.5</v>
      </c>
      <c r="AL41" s="4">
        <v>868</v>
      </c>
      <c r="AM41" s="4">
        <v>10827</v>
      </c>
      <c r="AN41" s="4">
        <v>253</v>
      </c>
      <c r="AO41" s="6">
        <v>36891</v>
      </c>
      <c r="AP41" s="6">
        <v>8238</v>
      </c>
      <c r="AQ41" s="6">
        <v>7997</v>
      </c>
      <c r="AR41" s="6">
        <v>20656</v>
      </c>
      <c r="AS41" s="6">
        <v>92.6</v>
      </c>
      <c r="AT41" s="6">
        <v>86.6</v>
      </c>
      <c r="AU41" s="6">
        <v>68.5</v>
      </c>
      <c r="AV41" s="4">
        <v>140</v>
      </c>
      <c r="AW41" s="4">
        <v>80</v>
      </c>
    </row>
    <row r="42" spans="1:49" x14ac:dyDescent="0.2">
      <c r="A42" s="1">
        <v>44685</v>
      </c>
      <c r="B42">
        <f t="shared" si="4"/>
        <v>-0.92</v>
      </c>
      <c r="C42" s="1" t="s">
        <v>57</v>
      </c>
      <c r="D42" s="1" t="s">
        <v>61</v>
      </c>
      <c r="E42" s="1" t="s">
        <v>69</v>
      </c>
      <c r="F42" s="1" t="s">
        <v>51</v>
      </c>
      <c r="G42">
        <v>5112</v>
      </c>
      <c r="H42" s="8"/>
      <c r="I42" s="4">
        <v>107</v>
      </c>
      <c r="J42" s="4">
        <v>69</v>
      </c>
      <c r="K42" s="8"/>
      <c r="L42" s="4">
        <v>90</v>
      </c>
      <c r="M42" s="4">
        <v>72</v>
      </c>
      <c r="N42" s="4">
        <v>93</v>
      </c>
      <c r="O42" s="4">
        <v>68</v>
      </c>
      <c r="P42" s="4">
        <v>68.439276980629401</v>
      </c>
      <c r="Q42" s="4">
        <v>81.376585983664796</v>
      </c>
      <c r="R42" s="8"/>
      <c r="S42" s="7" t="s">
        <v>33</v>
      </c>
      <c r="T42" s="4">
        <v>103166</v>
      </c>
      <c r="U42" s="4">
        <v>315293</v>
      </c>
      <c r="V42" s="4">
        <v>2196</v>
      </c>
      <c r="W42" s="4">
        <v>132400</v>
      </c>
      <c r="X42" s="4">
        <v>200643</v>
      </c>
      <c r="Y42" s="4">
        <v>114650</v>
      </c>
      <c r="Z42" s="4">
        <v>130000</v>
      </c>
      <c r="AA42" s="4">
        <v>2400</v>
      </c>
      <c r="AB42" s="4">
        <v>70784</v>
      </c>
      <c r="AC42" s="4">
        <v>200437</v>
      </c>
      <c r="AD42" s="4">
        <v>707</v>
      </c>
      <c r="AE42" s="4">
        <v>10245</v>
      </c>
      <c r="AF42" s="4">
        <v>282173</v>
      </c>
      <c r="AG42" s="6">
        <v>11657</v>
      </c>
      <c r="AH42" s="6">
        <v>9840</v>
      </c>
      <c r="AI42" s="6">
        <v>1817</v>
      </c>
      <c r="AJ42" s="6">
        <v>-30963</v>
      </c>
      <c r="AK42" s="6">
        <v>-29</v>
      </c>
      <c r="AL42" s="4">
        <v>1005</v>
      </c>
      <c r="AM42" s="4">
        <v>11324</v>
      </c>
      <c r="AN42" s="4">
        <v>277</v>
      </c>
      <c r="AO42" s="6">
        <v>41167</v>
      </c>
      <c r="AP42" s="6">
        <v>9080</v>
      </c>
      <c r="AQ42" s="6">
        <v>8684</v>
      </c>
      <c r="AR42" s="6">
        <v>23403</v>
      </c>
      <c r="AS42" s="6">
        <v>92.6</v>
      </c>
      <c r="AT42" s="6">
        <v>86.6</v>
      </c>
      <c r="AU42" s="6">
        <v>68.400000000000006</v>
      </c>
      <c r="AV42" s="4">
        <v>132</v>
      </c>
      <c r="AW42" s="4">
        <v>87</v>
      </c>
    </row>
    <row r="43" spans="1:49" x14ac:dyDescent="0.2">
      <c r="A43" s="1">
        <v>44684</v>
      </c>
      <c r="B43">
        <f t="shared" si="4"/>
        <v>-0.92</v>
      </c>
      <c r="C43" s="1" t="s">
        <v>57</v>
      </c>
      <c r="D43" s="1" t="s">
        <v>61</v>
      </c>
      <c r="E43" s="1" t="s">
        <v>69</v>
      </c>
      <c r="F43" s="1" t="s">
        <v>51</v>
      </c>
      <c r="G43">
        <v>5080</v>
      </c>
      <c r="H43" s="8"/>
      <c r="I43" s="4">
        <v>107</v>
      </c>
      <c r="J43" s="4">
        <v>65</v>
      </c>
      <c r="K43" s="8"/>
      <c r="L43" s="4">
        <v>94</v>
      </c>
      <c r="M43" s="4">
        <v>71</v>
      </c>
      <c r="N43" s="4">
        <v>96</v>
      </c>
      <c r="O43" s="4">
        <v>67</v>
      </c>
      <c r="P43" s="4">
        <v>65.058416993519103</v>
      </c>
      <c r="Q43" s="4">
        <v>79.405463408308407</v>
      </c>
      <c r="R43" s="8"/>
      <c r="S43" s="7" t="s">
        <v>33</v>
      </c>
      <c r="T43" s="4">
        <v>93396</v>
      </c>
      <c r="U43" s="4">
        <v>315293</v>
      </c>
      <c r="V43" s="4">
        <v>612</v>
      </c>
      <c r="W43" s="4">
        <v>132400</v>
      </c>
      <c r="X43" s="4">
        <v>200643</v>
      </c>
      <c r="Y43" s="4">
        <v>114650</v>
      </c>
      <c r="Z43" s="4">
        <v>130000</v>
      </c>
      <c r="AA43" s="4">
        <v>2400</v>
      </c>
      <c r="AB43" s="4">
        <v>74799</v>
      </c>
      <c r="AC43" s="4">
        <v>231187</v>
      </c>
      <c r="AD43" s="4">
        <v>543</v>
      </c>
      <c r="AE43" s="4">
        <v>7649</v>
      </c>
      <c r="AF43" s="4">
        <v>314178</v>
      </c>
      <c r="AG43" s="6">
        <v>13284</v>
      </c>
      <c r="AH43" s="6">
        <v>11135</v>
      </c>
      <c r="AI43" s="6">
        <v>2149</v>
      </c>
      <c r="AJ43" s="6">
        <v>-37973</v>
      </c>
      <c r="AK43" s="6">
        <v>-33</v>
      </c>
      <c r="AL43" s="4">
        <v>1019</v>
      </c>
      <c r="AM43" s="4">
        <v>11666</v>
      </c>
      <c r="AN43" s="4">
        <v>278</v>
      </c>
      <c r="AO43" s="6">
        <v>30651</v>
      </c>
      <c r="AP43" s="6">
        <v>7587</v>
      </c>
      <c r="AQ43" s="6">
        <v>6536</v>
      </c>
      <c r="AR43" s="6">
        <v>16528</v>
      </c>
      <c r="AS43" s="6">
        <v>92.6</v>
      </c>
      <c r="AT43" s="6">
        <v>86.5</v>
      </c>
      <c r="AU43" s="6">
        <v>68.400000000000006</v>
      </c>
      <c r="AV43" s="4">
        <v>139</v>
      </c>
      <c r="AW43" s="4">
        <v>100</v>
      </c>
    </row>
    <row r="44" spans="1:49" x14ac:dyDescent="0.2">
      <c r="A44" s="1">
        <v>44683</v>
      </c>
      <c r="B44">
        <f t="shared" si="4"/>
        <v>-0.92</v>
      </c>
      <c r="C44" s="1" t="s">
        <v>57</v>
      </c>
      <c r="D44" s="1" t="s">
        <v>61</v>
      </c>
      <c r="E44" s="1" t="s">
        <v>69</v>
      </c>
      <c r="F44" s="1" t="s">
        <v>51</v>
      </c>
      <c r="G44">
        <v>5034</v>
      </c>
      <c r="H44" s="8"/>
      <c r="I44" s="4">
        <v>114</v>
      </c>
      <c r="J44" s="4">
        <v>25</v>
      </c>
      <c r="K44" s="8"/>
      <c r="L44" s="4">
        <v>165</v>
      </c>
      <c r="M44" s="4">
        <v>83</v>
      </c>
      <c r="N44" s="4">
        <v>86</v>
      </c>
      <c r="O44" s="4">
        <v>52</v>
      </c>
      <c r="P44" s="4">
        <v>42.634905013894397</v>
      </c>
      <c r="Q44" s="4">
        <v>52.911421994655399</v>
      </c>
      <c r="R44" s="8"/>
      <c r="S44" s="7" t="s">
        <v>33</v>
      </c>
      <c r="T44" s="4">
        <v>74479</v>
      </c>
      <c r="U44" s="4">
        <v>315293</v>
      </c>
      <c r="V44" s="4">
        <v>136</v>
      </c>
      <c r="W44" s="4">
        <v>132400</v>
      </c>
      <c r="X44" s="4">
        <v>200643</v>
      </c>
      <c r="Y44" s="4">
        <v>114650</v>
      </c>
      <c r="Z44" s="4">
        <v>130000</v>
      </c>
      <c r="AA44" s="4">
        <v>2400</v>
      </c>
      <c r="AB44" s="4">
        <v>55341</v>
      </c>
      <c r="AC44" s="4">
        <v>188812</v>
      </c>
      <c r="AD44" s="4">
        <v>136</v>
      </c>
      <c r="AE44" s="4">
        <v>12482</v>
      </c>
      <c r="AF44" s="4">
        <v>256771</v>
      </c>
      <c r="AG44" s="6">
        <v>11887</v>
      </c>
      <c r="AH44" s="6">
        <v>10057</v>
      </c>
      <c r="AI44" s="6">
        <v>1830</v>
      </c>
      <c r="AJ44" s="6">
        <v>-47900</v>
      </c>
      <c r="AK44" s="6">
        <v>-37.899999999999899</v>
      </c>
      <c r="AL44" s="4">
        <v>940</v>
      </c>
      <c r="AM44" s="4">
        <v>11774</v>
      </c>
      <c r="AN44" s="4">
        <v>286</v>
      </c>
      <c r="AO44" s="6">
        <v>12756</v>
      </c>
      <c r="AP44" s="6">
        <v>5636</v>
      </c>
      <c r="AQ44" s="6">
        <v>2693</v>
      </c>
      <c r="AR44" s="6">
        <v>4427</v>
      </c>
      <c r="AS44" s="6">
        <v>92.6</v>
      </c>
      <c r="AT44" s="6">
        <v>86.5</v>
      </c>
      <c r="AU44" s="6">
        <v>68.3</v>
      </c>
      <c r="AV44" s="4">
        <v>160</v>
      </c>
      <c r="AW44" s="4">
        <v>105</v>
      </c>
    </row>
    <row r="45" spans="1:49" x14ac:dyDescent="0.2">
      <c r="A45" s="1">
        <v>44682</v>
      </c>
      <c r="B45">
        <v>17.75</v>
      </c>
      <c r="C45" s="1" t="s">
        <v>57</v>
      </c>
      <c r="D45" s="1" t="s">
        <v>61</v>
      </c>
      <c r="E45" s="1" t="s">
        <v>69</v>
      </c>
      <c r="F45" s="1" t="s">
        <v>51</v>
      </c>
      <c r="G45">
        <v>4995</v>
      </c>
      <c r="H45" s="8"/>
      <c r="I45" s="4">
        <v>99</v>
      </c>
      <c r="J45" s="4">
        <v>92</v>
      </c>
      <c r="K45" s="8"/>
      <c r="L45" s="4">
        <v>93</v>
      </c>
      <c r="M45" s="4">
        <v>83</v>
      </c>
      <c r="N45" s="4">
        <v>91</v>
      </c>
      <c r="O45" s="4">
        <v>81</v>
      </c>
      <c r="P45" s="4">
        <v>92.727722941590898</v>
      </c>
      <c r="Q45" s="4">
        <v>99.297662529232099</v>
      </c>
      <c r="R45" s="8"/>
      <c r="S45" s="7" t="s">
        <v>33</v>
      </c>
      <c r="T45" s="4">
        <v>66757</v>
      </c>
      <c r="U45" s="4">
        <v>315293</v>
      </c>
      <c r="V45" s="4">
        <v>168</v>
      </c>
      <c r="W45" s="4">
        <v>132400</v>
      </c>
      <c r="X45" s="4">
        <v>200643</v>
      </c>
      <c r="Y45" s="4">
        <v>114650</v>
      </c>
      <c r="Z45" s="4">
        <v>130000</v>
      </c>
      <c r="AA45" s="4">
        <v>2400</v>
      </c>
      <c r="AB45" s="4">
        <v>48023</v>
      </c>
      <c r="AC45" s="4">
        <v>139114</v>
      </c>
      <c r="AD45" s="4">
        <v>168</v>
      </c>
      <c r="AE45" s="4">
        <v>9210</v>
      </c>
      <c r="AF45" s="4">
        <v>196515</v>
      </c>
      <c r="AG45" s="6">
        <v>9023</v>
      </c>
      <c r="AH45" s="6">
        <v>7768</v>
      </c>
      <c r="AI45" s="6">
        <v>1255</v>
      </c>
      <c r="AJ45" s="6">
        <v>-50751</v>
      </c>
      <c r="AK45" s="6">
        <v>-37.799999999999898</v>
      </c>
      <c r="AL45" s="4">
        <v>906</v>
      </c>
      <c r="AM45" s="4">
        <v>11776</v>
      </c>
      <c r="AN45" s="4">
        <v>293</v>
      </c>
      <c r="AO45" s="6">
        <v>25693</v>
      </c>
      <c r="AP45" s="6">
        <v>12021</v>
      </c>
      <c r="AQ45" s="6">
        <v>6142</v>
      </c>
      <c r="AR45" s="6">
        <v>7530</v>
      </c>
      <c r="AS45" s="6">
        <v>92.6</v>
      </c>
      <c r="AT45" s="6">
        <v>86.5</v>
      </c>
      <c r="AU45" s="6">
        <v>68.3</v>
      </c>
      <c r="AV45" s="4">
        <v>176</v>
      </c>
      <c r="AW45" s="4">
        <v>107</v>
      </c>
    </row>
    <row r="46" spans="1:49" x14ac:dyDescent="0.2">
      <c r="A46" s="1">
        <v>44681</v>
      </c>
      <c r="B46">
        <f>B45</f>
        <v>17.75</v>
      </c>
      <c r="C46" s="1" t="s">
        <v>57</v>
      </c>
      <c r="D46" s="1" t="s">
        <v>61</v>
      </c>
      <c r="E46" s="1" t="s">
        <v>69</v>
      </c>
      <c r="F46" s="1" t="s">
        <v>51</v>
      </c>
      <c r="G46">
        <v>4956</v>
      </c>
      <c r="H46" s="8"/>
      <c r="I46" s="4">
        <v>99</v>
      </c>
      <c r="J46" s="4">
        <v>91</v>
      </c>
      <c r="K46" s="8"/>
      <c r="L46" s="4">
        <v>102</v>
      </c>
      <c r="M46" s="4">
        <v>76</v>
      </c>
      <c r="N46" s="4">
        <v>95</v>
      </c>
      <c r="O46" s="4">
        <v>80</v>
      </c>
      <c r="P46" s="4">
        <v>77.841922869233898</v>
      </c>
      <c r="Q46" s="4">
        <v>90.5475358954249</v>
      </c>
      <c r="R46" s="8"/>
      <c r="S46" s="7" t="s">
        <v>33</v>
      </c>
      <c r="T46" s="4">
        <v>75576</v>
      </c>
      <c r="U46" s="4">
        <v>407293</v>
      </c>
      <c r="V46" s="4">
        <v>1250</v>
      </c>
      <c r="W46" s="4">
        <v>132400</v>
      </c>
      <c r="X46" s="4">
        <v>200643</v>
      </c>
      <c r="Y46" s="4">
        <v>206650</v>
      </c>
      <c r="Z46" s="4">
        <v>130000</v>
      </c>
      <c r="AA46" s="4">
        <v>2400</v>
      </c>
      <c r="AB46" s="4">
        <v>46234</v>
      </c>
      <c r="AC46" s="4">
        <v>146975</v>
      </c>
      <c r="AD46" s="4">
        <v>360</v>
      </c>
      <c r="AE46" s="4">
        <v>10941</v>
      </c>
      <c r="AF46" s="4">
        <v>204510</v>
      </c>
      <c r="AG46" s="6">
        <v>8356</v>
      </c>
      <c r="AH46" s="6">
        <v>7240</v>
      </c>
      <c r="AI46" s="6">
        <v>1116</v>
      </c>
      <c r="AJ46" s="6">
        <v>-50486</v>
      </c>
      <c r="AK46" s="6">
        <v>-36.1</v>
      </c>
      <c r="AL46" s="4">
        <v>826</v>
      </c>
      <c r="AM46" s="4">
        <v>11992</v>
      </c>
      <c r="AN46" s="4">
        <v>304</v>
      </c>
      <c r="AO46" s="6">
        <v>60944</v>
      </c>
      <c r="AP46" s="6">
        <v>27465</v>
      </c>
      <c r="AQ46" s="6">
        <v>15009</v>
      </c>
      <c r="AR46" s="6">
        <v>18470</v>
      </c>
      <c r="AS46" s="6">
        <v>92.6</v>
      </c>
      <c r="AT46" s="6">
        <v>86.5</v>
      </c>
      <c r="AU46" s="6">
        <v>68.3</v>
      </c>
      <c r="AV46" s="4">
        <v>179</v>
      </c>
      <c r="AW46" s="4">
        <v>103</v>
      </c>
    </row>
    <row r="47" spans="1:49" x14ac:dyDescent="0.2">
      <c r="A47" s="1">
        <v>44680</v>
      </c>
      <c r="B47">
        <f t="shared" ref="B47:B51" si="5">B46</f>
        <v>17.75</v>
      </c>
      <c r="C47" s="1" t="s">
        <v>57</v>
      </c>
      <c r="D47" s="1" t="s">
        <v>61</v>
      </c>
      <c r="E47" s="1" t="s">
        <v>69</v>
      </c>
      <c r="F47" s="1" t="s">
        <v>51</v>
      </c>
      <c r="G47">
        <v>4910</v>
      </c>
      <c r="H47" s="8"/>
      <c r="I47" s="4">
        <v>107</v>
      </c>
      <c r="J47" s="4">
        <v>66</v>
      </c>
      <c r="K47" s="8"/>
      <c r="L47" s="4">
        <v>84</v>
      </c>
      <c r="M47" s="4">
        <v>73</v>
      </c>
      <c r="N47" s="4">
        <v>97</v>
      </c>
      <c r="O47" s="4">
        <v>67</v>
      </c>
      <c r="P47" s="4">
        <v>64.204770567887707</v>
      </c>
      <c r="Q47" s="4">
        <v>82.332641013894104</v>
      </c>
      <c r="R47" s="8"/>
      <c r="S47" s="7" t="s">
        <v>33</v>
      </c>
      <c r="T47" s="4">
        <v>87359</v>
      </c>
      <c r="U47" s="4">
        <v>407293</v>
      </c>
      <c r="V47" s="4">
        <v>2123</v>
      </c>
      <c r="W47" s="4">
        <v>132400</v>
      </c>
      <c r="X47" s="4">
        <v>200643</v>
      </c>
      <c r="Y47" s="4">
        <v>206650</v>
      </c>
      <c r="Z47" s="4">
        <v>130000</v>
      </c>
      <c r="AA47" s="4">
        <v>2400</v>
      </c>
      <c r="AB47" s="4">
        <v>55573</v>
      </c>
      <c r="AC47" s="4">
        <v>211136</v>
      </c>
      <c r="AD47" s="4">
        <v>625</v>
      </c>
      <c r="AE47" s="4">
        <v>12403</v>
      </c>
      <c r="AF47" s="4">
        <v>279737</v>
      </c>
      <c r="AG47" s="6">
        <v>9995</v>
      </c>
      <c r="AH47" s="6">
        <v>8614</v>
      </c>
      <c r="AI47" s="6">
        <v>1381</v>
      </c>
      <c r="AJ47" s="6">
        <v>-52349</v>
      </c>
      <c r="AK47" s="6">
        <v>-35.700000000000003</v>
      </c>
      <c r="AL47" s="4">
        <v>1001</v>
      </c>
      <c r="AM47" s="4">
        <v>12529</v>
      </c>
      <c r="AN47" s="4">
        <v>305</v>
      </c>
      <c r="AO47" s="6">
        <v>40403</v>
      </c>
      <c r="AP47" s="6">
        <v>11491</v>
      </c>
      <c r="AQ47" s="6">
        <v>9533</v>
      </c>
      <c r="AR47" s="6">
        <v>19379</v>
      </c>
      <c r="AS47" s="6">
        <v>92.5</v>
      </c>
      <c r="AT47" s="6">
        <v>86.5</v>
      </c>
      <c r="AU47" s="6">
        <v>68.3</v>
      </c>
      <c r="AV47" s="4">
        <v>178</v>
      </c>
      <c r="AW47" s="4">
        <v>103</v>
      </c>
    </row>
    <row r="48" spans="1:49" x14ac:dyDescent="0.2">
      <c r="A48" s="1">
        <v>44679</v>
      </c>
      <c r="B48">
        <f t="shared" si="5"/>
        <v>17.75</v>
      </c>
      <c r="C48" s="1" t="s">
        <v>57</v>
      </c>
      <c r="D48" s="1" t="s">
        <v>61</v>
      </c>
      <c r="E48" s="1" t="s">
        <v>69</v>
      </c>
      <c r="F48" s="1" t="s">
        <v>51</v>
      </c>
      <c r="G48">
        <v>4891</v>
      </c>
      <c r="H48" s="8"/>
      <c r="I48" s="4">
        <v>106</v>
      </c>
      <c r="J48" s="4">
        <v>69</v>
      </c>
      <c r="K48" s="8"/>
      <c r="L48" s="4">
        <v>102</v>
      </c>
      <c r="M48" s="4">
        <v>76</v>
      </c>
      <c r="N48" s="4">
        <v>96</v>
      </c>
      <c r="O48" s="4">
        <v>69</v>
      </c>
      <c r="P48" s="4">
        <v>69.627611364763098</v>
      </c>
      <c r="Q48" s="4">
        <v>82.135062304328002</v>
      </c>
      <c r="R48" s="8"/>
      <c r="S48" s="7" t="s">
        <v>33</v>
      </c>
      <c r="T48" s="4">
        <v>95280</v>
      </c>
      <c r="U48" s="4">
        <v>407282</v>
      </c>
      <c r="V48" s="4">
        <v>2693</v>
      </c>
      <c r="W48" s="4">
        <v>132400</v>
      </c>
      <c r="X48" s="4">
        <v>200632</v>
      </c>
      <c r="Y48" s="4">
        <v>206650</v>
      </c>
      <c r="Z48" s="4">
        <v>130000</v>
      </c>
      <c r="AA48" s="4">
        <v>2400</v>
      </c>
      <c r="AB48" s="4">
        <v>62227</v>
      </c>
      <c r="AC48" s="4">
        <v>238402</v>
      </c>
      <c r="AD48" s="4">
        <v>692</v>
      </c>
      <c r="AE48" s="4">
        <v>14483</v>
      </c>
      <c r="AF48" s="4">
        <v>315804</v>
      </c>
      <c r="AG48" s="6">
        <v>11587</v>
      </c>
      <c r="AH48" s="6">
        <v>9892</v>
      </c>
      <c r="AI48" s="6">
        <v>1695</v>
      </c>
      <c r="AJ48" s="6">
        <v>-52575</v>
      </c>
      <c r="AK48" s="6">
        <v>-34.5</v>
      </c>
      <c r="AL48" s="4">
        <v>1074</v>
      </c>
      <c r="AM48" s="4">
        <v>13102</v>
      </c>
      <c r="AN48" s="4">
        <v>302</v>
      </c>
      <c r="AO48" s="6">
        <v>43416</v>
      </c>
      <c r="AP48" s="6">
        <v>11079</v>
      </c>
      <c r="AQ48" s="6">
        <v>9624</v>
      </c>
      <c r="AR48" s="6">
        <v>22713</v>
      </c>
      <c r="AS48" s="6">
        <v>92.5</v>
      </c>
      <c r="AT48" s="6">
        <v>86.5</v>
      </c>
      <c r="AU48" s="6">
        <v>68.3</v>
      </c>
      <c r="AV48" s="4">
        <v>185</v>
      </c>
      <c r="AW48" s="4">
        <v>124</v>
      </c>
    </row>
    <row r="49" spans="1:49" x14ac:dyDescent="0.2">
      <c r="A49" s="1">
        <v>44678</v>
      </c>
      <c r="B49">
        <f t="shared" si="5"/>
        <v>17.75</v>
      </c>
      <c r="C49" s="1" t="s">
        <v>57</v>
      </c>
      <c r="D49" s="1" t="s">
        <v>61</v>
      </c>
      <c r="E49" s="1" t="s">
        <v>69</v>
      </c>
      <c r="F49" s="1" t="s">
        <v>51</v>
      </c>
      <c r="G49">
        <v>4865</v>
      </c>
      <c r="H49" s="8"/>
      <c r="I49" s="4">
        <v>107</v>
      </c>
      <c r="J49" s="4">
        <v>68</v>
      </c>
      <c r="K49" s="8"/>
      <c r="L49" s="4">
        <v>88</v>
      </c>
      <c r="M49" s="4">
        <v>72</v>
      </c>
      <c r="N49" s="4">
        <v>93</v>
      </c>
      <c r="O49" s="4">
        <v>68</v>
      </c>
      <c r="P49" s="4">
        <v>67.4818811558589</v>
      </c>
      <c r="Q49" s="4">
        <v>80.538106118699403</v>
      </c>
      <c r="R49" s="8"/>
      <c r="S49" s="7" t="s">
        <v>33</v>
      </c>
      <c r="T49" s="4">
        <v>106614</v>
      </c>
      <c r="U49" s="4">
        <v>407282</v>
      </c>
      <c r="V49" s="4">
        <v>2574</v>
      </c>
      <c r="W49" s="4">
        <v>132400</v>
      </c>
      <c r="X49" s="4">
        <v>200632</v>
      </c>
      <c r="Y49" s="4">
        <v>206650</v>
      </c>
      <c r="Z49" s="4">
        <v>130000</v>
      </c>
      <c r="AA49" s="4">
        <v>2400</v>
      </c>
      <c r="AB49" s="4">
        <v>68080</v>
      </c>
      <c r="AC49" s="4">
        <v>230056</v>
      </c>
      <c r="AD49" s="4">
        <v>576</v>
      </c>
      <c r="AE49" s="4">
        <v>14039</v>
      </c>
      <c r="AF49" s="4">
        <v>312751</v>
      </c>
      <c r="AG49" s="6">
        <v>13038</v>
      </c>
      <c r="AH49" s="6">
        <v>11132</v>
      </c>
      <c r="AI49" s="6">
        <v>1906</v>
      </c>
      <c r="AJ49" s="6">
        <v>-53902</v>
      </c>
      <c r="AK49" s="6">
        <v>-33.6</v>
      </c>
      <c r="AL49" s="4">
        <v>1227</v>
      </c>
      <c r="AM49" s="4">
        <v>13735</v>
      </c>
      <c r="AN49" s="4">
        <v>310</v>
      </c>
      <c r="AO49" s="6">
        <v>41138</v>
      </c>
      <c r="AP49" s="6">
        <v>9609</v>
      </c>
      <c r="AQ49" s="6">
        <v>8324</v>
      </c>
      <c r="AR49" s="6">
        <v>23205</v>
      </c>
      <c r="AS49" s="6">
        <v>92.5</v>
      </c>
      <c r="AT49" s="6">
        <v>86.5</v>
      </c>
      <c r="AU49" s="6">
        <v>68.2</v>
      </c>
      <c r="AV49" s="4">
        <v>189</v>
      </c>
      <c r="AW49" s="4">
        <v>128</v>
      </c>
    </row>
    <row r="50" spans="1:49" x14ac:dyDescent="0.2">
      <c r="A50" s="1">
        <v>44677</v>
      </c>
      <c r="B50">
        <f t="shared" si="5"/>
        <v>17.75</v>
      </c>
      <c r="C50" s="1" t="s">
        <v>57</v>
      </c>
      <c r="D50" s="1" t="s">
        <v>61</v>
      </c>
      <c r="E50" s="1" t="s">
        <v>69</v>
      </c>
      <c r="F50" s="1" t="s">
        <v>51</v>
      </c>
      <c r="G50">
        <v>4832</v>
      </c>
      <c r="H50" s="8"/>
      <c r="I50" s="4">
        <v>107</v>
      </c>
      <c r="J50" s="4">
        <v>67</v>
      </c>
      <c r="K50" s="8"/>
      <c r="L50" s="4">
        <v>101</v>
      </c>
      <c r="M50" s="4">
        <v>74</v>
      </c>
      <c r="N50" s="4">
        <v>95</v>
      </c>
      <c r="O50" s="4">
        <v>69</v>
      </c>
      <c r="P50" s="4">
        <v>66.981902001069301</v>
      </c>
      <c r="Q50" s="4">
        <v>81.601316285803094</v>
      </c>
      <c r="R50" s="8"/>
      <c r="S50" s="7" t="s">
        <v>33</v>
      </c>
      <c r="T50" s="4">
        <v>121121</v>
      </c>
      <c r="U50" s="4">
        <v>407282</v>
      </c>
      <c r="V50" s="4">
        <v>2983</v>
      </c>
      <c r="W50" s="4">
        <v>132400</v>
      </c>
      <c r="X50" s="4">
        <v>200632</v>
      </c>
      <c r="Y50" s="4">
        <v>206650</v>
      </c>
      <c r="Z50" s="4">
        <v>130000</v>
      </c>
      <c r="AA50" s="4">
        <v>2400</v>
      </c>
      <c r="AB50" s="4">
        <v>82913</v>
      </c>
      <c r="AC50" s="4">
        <v>236917</v>
      </c>
      <c r="AD50" s="4">
        <v>812</v>
      </c>
      <c r="AE50" s="4">
        <v>10545</v>
      </c>
      <c r="AF50" s="4">
        <v>331187</v>
      </c>
      <c r="AG50" s="6">
        <v>14555</v>
      </c>
      <c r="AH50" s="6">
        <v>12459</v>
      </c>
      <c r="AI50" s="6">
        <v>2096</v>
      </c>
      <c r="AJ50" s="6">
        <v>-55739</v>
      </c>
      <c r="AK50" s="6">
        <v>-32.6</v>
      </c>
      <c r="AL50" s="4">
        <v>1248</v>
      </c>
      <c r="AM50" s="4">
        <v>14166</v>
      </c>
      <c r="AN50" s="4">
        <v>326</v>
      </c>
      <c r="AO50" s="6">
        <v>37875</v>
      </c>
      <c r="AP50" s="6">
        <v>9541</v>
      </c>
      <c r="AQ50" s="6">
        <v>8424</v>
      </c>
      <c r="AR50" s="6">
        <v>19910</v>
      </c>
      <c r="AS50" s="6">
        <v>92.5</v>
      </c>
      <c r="AT50" s="6">
        <v>86.4</v>
      </c>
      <c r="AU50" s="6">
        <v>68.2</v>
      </c>
      <c r="AV50" s="4">
        <v>182</v>
      </c>
      <c r="AW50" s="4">
        <v>119</v>
      </c>
    </row>
    <row r="51" spans="1:49" x14ac:dyDescent="0.2">
      <c r="A51" s="1">
        <v>44676</v>
      </c>
      <c r="B51">
        <f t="shared" si="5"/>
        <v>17.75</v>
      </c>
      <c r="C51" s="1" t="s">
        <v>57</v>
      </c>
      <c r="D51" s="1" t="s">
        <v>61</v>
      </c>
      <c r="E51" s="1" t="s">
        <v>69</v>
      </c>
      <c r="F51" s="1" t="s">
        <v>51</v>
      </c>
      <c r="G51">
        <v>4808</v>
      </c>
      <c r="H51" s="8"/>
      <c r="I51" s="4">
        <v>109</v>
      </c>
      <c r="J51" s="4">
        <v>64</v>
      </c>
      <c r="K51" s="8"/>
      <c r="L51" s="4">
        <v>97</v>
      </c>
      <c r="M51" s="4">
        <v>74</v>
      </c>
      <c r="N51" s="4">
        <v>95</v>
      </c>
      <c r="O51" s="4">
        <v>66</v>
      </c>
      <c r="P51" s="4">
        <v>60.981487833262797</v>
      </c>
      <c r="Q51" s="4">
        <v>79.260289116901603</v>
      </c>
      <c r="R51" s="8"/>
      <c r="S51" s="7" t="s">
        <v>33</v>
      </c>
      <c r="T51" s="4">
        <v>99673</v>
      </c>
      <c r="U51" s="4">
        <v>407282</v>
      </c>
      <c r="V51" s="4">
        <v>4136</v>
      </c>
      <c r="W51" s="4">
        <v>132400</v>
      </c>
      <c r="X51" s="4">
        <v>200632</v>
      </c>
      <c r="Y51" s="4">
        <v>206650</v>
      </c>
      <c r="Z51" s="4">
        <v>130000</v>
      </c>
      <c r="AA51" s="4">
        <v>2400</v>
      </c>
      <c r="AB51" s="4">
        <v>76639</v>
      </c>
      <c r="AC51" s="4">
        <v>296537</v>
      </c>
      <c r="AD51" s="4">
        <v>494</v>
      </c>
      <c r="AE51" s="4">
        <v>12445</v>
      </c>
      <c r="AF51" s="4">
        <v>386115</v>
      </c>
      <c r="AG51" s="6">
        <v>17107</v>
      </c>
      <c r="AH51" s="6">
        <v>14438</v>
      </c>
      <c r="AI51" s="6">
        <v>2669</v>
      </c>
      <c r="AJ51" s="6">
        <v>-52523</v>
      </c>
      <c r="AK51" s="6">
        <v>-29.399999999999899</v>
      </c>
      <c r="AL51" s="4">
        <v>1279</v>
      </c>
      <c r="AM51" s="4">
        <v>14984</v>
      </c>
      <c r="AN51" s="4">
        <v>320</v>
      </c>
      <c r="AO51" s="6">
        <v>33099</v>
      </c>
      <c r="AP51" s="6">
        <v>8959</v>
      </c>
      <c r="AQ51" s="6">
        <v>7976</v>
      </c>
      <c r="AR51" s="6">
        <v>16164</v>
      </c>
      <c r="AS51" s="6">
        <v>92.4</v>
      </c>
      <c r="AT51" s="6">
        <v>86.4</v>
      </c>
      <c r="AU51" s="6">
        <v>68.099999999999994</v>
      </c>
      <c r="AV51" s="4">
        <v>184</v>
      </c>
      <c r="AW51" s="4">
        <v>126</v>
      </c>
    </row>
    <row r="52" spans="1:49" x14ac:dyDescent="0.2">
      <c r="A52" s="1">
        <v>44675</v>
      </c>
      <c r="B52">
        <v>1.99</v>
      </c>
      <c r="C52" s="1" t="s">
        <v>57</v>
      </c>
      <c r="D52" s="1" t="s">
        <v>61</v>
      </c>
      <c r="E52" s="1" t="s">
        <v>69</v>
      </c>
      <c r="F52" s="1" t="s">
        <v>51</v>
      </c>
      <c r="G52">
        <v>4810</v>
      </c>
      <c r="H52" s="8"/>
      <c r="I52" s="4">
        <v>100</v>
      </c>
      <c r="J52" s="4">
        <v>92</v>
      </c>
      <c r="K52" s="8"/>
      <c r="L52" s="4">
        <v>113</v>
      </c>
      <c r="M52" s="4">
        <v>74</v>
      </c>
      <c r="N52" s="4">
        <v>90</v>
      </c>
      <c r="O52" s="4">
        <v>78</v>
      </c>
      <c r="P52" s="4">
        <v>84.655325494380705</v>
      </c>
      <c r="Q52" s="4">
        <v>92.793174940056602</v>
      </c>
      <c r="R52" s="8"/>
      <c r="S52" s="7" t="s">
        <v>33</v>
      </c>
      <c r="T52" s="4">
        <v>76615</v>
      </c>
      <c r="U52" s="4">
        <v>407282</v>
      </c>
      <c r="V52" s="4">
        <v>162</v>
      </c>
      <c r="W52" s="4">
        <v>132400</v>
      </c>
      <c r="X52" s="4">
        <v>200632</v>
      </c>
      <c r="Y52" s="4">
        <v>206650</v>
      </c>
      <c r="Z52" s="4">
        <v>130000</v>
      </c>
      <c r="AA52" s="4">
        <v>2400</v>
      </c>
      <c r="AB52" s="4">
        <v>49787</v>
      </c>
      <c r="AC52" s="4">
        <v>181605</v>
      </c>
      <c r="AD52" s="4">
        <v>162</v>
      </c>
      <c r="AE52" s="4">
        <v>13456</v>
      </c>
      <c r="AF52" s="4">
        <v>245010</v>
      </c>
      <c r="AG52" s="6">
        <v>14714</v>
      </c>
      <c r="AH52" s="6">
        <v>12700</v>
      </c>
      <c r="AI52" s="6">
        <v>2014</v>
      </c>
      <c r="AJ52" s="6">
        <v>-56623</v>
      </c>
      <c r="AK52" s="6">
        <v>-29.6</v>
      </c>
      <c r="AL52" s="4">
        <v>1189</v>
      </c>
      <c r="AM52" s="4">
        <v>15048</v>
      </c>
      <c r="AN52" s="4">
        <v>324</v>
      </c>
      <c r="AO52" s="6">
        <v>34453</v>
      </c>
      <c r="AP52" s="6">
        <v>15624</v>
      </c>
      <c r="AQ52" s="6">
        <v>8241</v>
      </c>
      <c r="AR52" s="6">
        <v>10588</v>
      </c>
      <c r="AS52" s="6">
        <v>92.4</v>
      </c>
      <c r="AT52" s="6">
        <v>86.4</v>
      </c>
      <c r="AU52" s="6">
        <v>68.099999999999994</v>
      </c>
      <c r="AV52" s="4">
        <v>177</v>
      </c>
      <c r="AW52" s="4">
        <v>127</v>
      </c>
    </row>
    <row r="53" spans="1:49" x14ac:dyDescent="0.2">
      <c r="A53" s="1">
        <v>44674</v>
      </c>
      <c r="B53">
        <f>B52</f>
        <v>1.99</v>
      </c>
      <c r="C53" s="1" t="s">
        <v>57</v>
      </c>
      <c r="D53" s="1" t="s">
        <v>61</v>
      </c>
      <c r="E53" s="1" t="s">
        <v>69</v>
      </c>
      <c r="F53" s="1" t="s">
        <v>51</v>
      </c>
      <c r="G53">
        <v>4820</v>
      </c>
      <c r="H53" s="8"/>
      <c r="I53" s="4">
        <v>101</v>
      </c>
      <c r="J53" s="4">
        <v>90</v>
      </c>
      <c r="K53" s="8"/>
      <c r="L53" s="4">
        <v>84</v>
      </c>
      <c r="M53" s="4">
        <v>73</v>
      </c>
      <c r="N53" s="4">
        <v>93</v>
      </c>
      <c r="O53" s="4">
        <v>77</v>
      </c>
      <c r="P53" s="4">
        <v>79.035661369706204</v>
      </c>
      <c r="Q53" s="4">
        <v>85.779589411225501</v>
      </c>
      <c r="R53" s="8"/>
      <c r="S53" s="7" t="s">
        <v>33</v>
      </c>
      <c r="T53" s="4">
        <v>89376</v>
      </c>
      <c r="U53" s="4">
        <v>407282</v>
      </c>
      <c r="V53" s="4">
        <v>255</v>
      </c>
      <c r="W53" s="4">
        <v>132400</v>
      </c>
      <c r="X53" s="4">
        <v>200632</v>
      </c>
      <c r="Y53" s="4">
        <v>206650</v>
      </c>
      <c r="Z53" s="4">
        <v>130000</v>
      </c>
      <c r="AA53" s="4">
        <v>2400</v>
      </c>
      <c r="AB53" s="4">
        <v>51237</v>
      </c>
      <c r="AC53" s="4">
        <v>185650</v>
      </c>
      <c r="AD53" s="4">
        <v>255</v>
      </c>
      <c r="AE53" s="4">
        <v>13407</v>
      </c>
      <c r="AF53" s="4">
        <v>250549</v>
      </c>
      <c r="AG53" s="6">
        <v>13204</v>
      </c>
      <c r="AH53" s="6">
        <v>11608</v>
      </c>
      <c r="AI53" s="6">
        <v>1596</v>
      </c>
      <c r="AJ53" s="6">
        <v>-61986</v>
      </c>
      <c r="AK53" s="6">
        <v>-30.6999999999999</v>
      </c>
      <c r="AL53" s="4">
        <v>1204</v>
      </c>
      <c r="AM53" s="4">
        <v>15157</v>
      </c>
      <c r="AN53" s="4">
        <v>325</v>
      </c>
      <c r="AO53" s="6">
        <v>68823</v>
      </c>
      <c r="AP53" s="6">
        <v>31918</v>
      </c>
      <c r="AQ53" s="6">
        <v>16861</v>
      </c>
      <c r="AR53" s="6">
        <v>20044</v>
      </c>
      <c r="AS53" s="6">
        <v>92.4</v>
      </c>
      <c r="AT53" s="6">
        <v>86.4</v>
      </c>
      <c r="AU53" s="6">
        <v>68.099999999999994</v>
      </c>
      <c r="AV53" s="4">
        <v>205</v>
      </c>
      <c r="AW53" s="4">
        <v>140</v>
      </c>
    </row>
    <row r="54" spans="1:49" x14ac:dyDescent="0.2">
      <c r="A54" s="1">
        <v>44673</v>
      </c>
      <c r="B54">
        <f t="shared" ref="B54:B58" si="6">B53</f>
        <v>1.99</v>
      </c>
      <c r="C54" s="1" t="s">
        <v>57</v>
      </c>
      <c r="D54" s="1" t="s">
        <v>61</v>
      </c>
      <c r="E54" s="1" t="s">
        <v>69</v>
      </c>
      <c r="F54" s="1" t="s">
        <v>51</v>
      </c>
      <c r="G54">
        <v>4816</v>
      </c>
      <c r="H54" s="8"/>
      <c r="I54" s="4">
        <v>109</v>
      </c>
      <c r="J54" s="4">
        <v>65</v>
      </c>
      <c r="K54" s="8"/>
      <c r="L54" s="4">
        <v>86</v>
      </c>
      <c r="M54" s="4">
        <v>69</v>
      </c>
      <c r="N54" s="4">
        <v>95</v>
      </c>
      <c r="O54" s="4">
        <v>65</v>
      </c>
      <c r="P54" s="4">
        <v>61.913755603608898</v>
      </c>
      <c r="Q54" s="4">
        <v>79.969341324133396</v>
      </c>
      <c r="R54" s="8"/>
      <c r="S54" s="7" t="s">
        <v>33</v>
      </c>
      <c r="T54" s="4">
        <v>100519</v>
      </c>
      <c r="U54" s="4">
        <v>407282</v>
      </c>
      <c r="V54" s="4">
        <v>2954</v>
      </c>
      <c r="W54" s="4">
        <v>132400</v>
      </c>
      <c r="X54" s="4">
        <v>200632</v>
      </c>
      <c r="Y54" s="4">
        <v>206650</v>
      </c>
      <c r="Z54" s="4">
        <v>130000</v>
      </c>
      <c r="AA54" s="4">
        <v>2400</v>
      </c>
      <c r="AB54" s="4">
        <v>59771</v>
      </c>
      <c r="AC54" s="4">
        <v>253176</v>
      </c>
      <c r="AD54" s="4">
        <v>886</v>
      </c>
      <c r="AE54" s="4">
        <v>16075</v>
      </c>
      <c r="AF54" s="4">
        <v>329908</v>
      </c>
      <c r="AG54" s="6">
        <v>15689</v>
      </c>
      <c r="AH54" s="6">
        <v>13585</v>
      </c>
      <c r="AI54" s="6">
        <v>2104</v>
      </c>
      <c r="AJ54" s="6">
        <v>-63230</v>
      </c>
      <c r="AK54" s="6">
        <v>-30.1</v>
      </c>
      <c r="AL54" s="4">
        <v>1366</v>
      </c>
      <c r="AM54" s="4">
        <v>15971</v>
      </c>
      <c r="AN54" s="4">
        <v>325</v>
      </c>
      <c r="AO54" s="6">
        <v>42552</v>
      </c>
      <c r="AP54" s="6">
        <v>15821</v>
      </c>
      <c r="AQ54" s="6">
        <v>10316</v>
      </c>
      <c r="AR54" s="6">
        <v>16415</v>
      </c>
      <c r="AS54" s="6">
        <v>92.3</v>
      </c>
      <c r="AT54" s="6">
        <v>86.4</v>
      </c>
      <c r="AU54" s="6">
        <v>68.099999999999994</v>
      </c>
      <c r="AV54" s="4">
        <v>216</v>
      </c>
      <c r="AW54" s="4">
        <v>145</v>
      </c>
    </row>
    <row r="55" spans="1:49" x14ac:dyDescent="0.2">
      <c r="A55" s="1">
        <v>44672</v>
      </c>
      <c r="B55">
        <f t="shared" si="6"/>
        <v>1.99</v>
      </c>
      <c r="C55" s="1" t="s">
        <v>57</v>
      </c>
      <c r="D55" s="1" t="s">
        <v>61</v>
      </c>
      <c r="E55" s="1" t="s">
        <v>69</v>
      </c>
      <c r="F55" s="1" t="s">
        <v>51</v>
      </c>
      <c r="G55">
        <v>4789</v>
      </c>
      <c r="H55" s="8"/>
      <c r="I55" s="4">
        <v>107</v>
      </c>
      <c r="J55" s="4">
        <v>66</v>
      </c>
      <c r="K55" s="8"/>
      <c r="L55" s="4">
        <v>117</v>
      </c>
      <c r="M55" s="4">
        <v>73</v>
      </c>
      <c r="N55" s="4">
        <v>96</v>
      </c>
      <c r="O55" s="4">
        <v>66</v>
      </c>
      <c r="P55" s="4">
        <v>66.883702115002905</v>
      </c>
      <c r="Q55" s="4">
        <v>79.691121308539607</v>
      </c>
      <c r="R55" s="8"/>
      <c r="S55" s="7" t="s">
        <v>33</v>
      </c>
      <c r="T55" s="4">
        <v>116479</v>
      </c>
      <c r="U55" s="4">
        <v>407168</v>
      </c>
      <c r="V55" s="4">
        <v>3287</v>
      </c>
      <c r="W55" s="4">
        <v>132400</v>
      </c>
      <c r="X55" s="4">
        <v>200518</v>
      </c>
      <c r="Y55" s="4">
        <v>206650</v>
      </c>
      <c r="Z55" s="4">
        <v>130000</v>
      </c>
      <c r="AA55" s="4">
        <v>2400</v>
      </c>
      <c r="AB55" s="4">
        <v>66256</v>
      </c>
      <c r="AC55" s="4">
        <v>276805</v>
      </c>
      <c r="AD55" s="4">
        <v>1199</v>
      </c>
      <c r="AE55" s="4">
        <v>17429</v>
      </c>
      <c r="AF55" s="4">
        <v>361689</v>
      </c>
      <c r="AG55" s="6">
        <v>18445</v>
      </c>
      <c r="AH55" s="6">
        <v>16004</v>
      </c>
      <c r="AI55" s="6">
        <v>2441</v>
      </c>
      <c r="AJ55" s="6">
        <v>-68661</v>
      </c>
      <c r="AK55" s="6">
        <v>-31.1</v>
      </c>
      <c r="AL55" s="4">
        <v>1435</v>
      </c>
      <c r="AM55" s="4">
        <v>16505</v>
      </c>
      <c r="AN55" s="4">
        <v>338</v>
      </c>
      <c r="AO55" s="6">
        <v>46000</v>
      </c>
      <c r="AP55" s="6">
        <v>17230</v>
      </c>
      <c r="AQ55" s="6">
        <v>10706</v>
      </c>
      <c r="AR55" s="6">
        <v>18064</v>
      </c>
      <c r="AS55" s="6">
        <v>92.3</v>
      </c>
      <c r="AT55" s="6">
        <v>86.4</v>
      </c>
      <c r="AU55" s="6">
        <v>68</v>
      </c>
      <c r="AV55" s="4">
        <v>209</v>
      </c>
      <c r="AW55" s="4">
        <v>157</v>
      </c>
    </row>
    <row r="56" spans="1:49" x14ac:dyDescent="0.2">
      <c r="A56" s="1">
        <v>44671</v>
      </c>
      <c r="B56">
        <f t="shared" si="6"/>
        <v>1.99</v>
      </c>
      <c r="C56" s="1" t="s">
        <v>57</v>
      </c>
      <c r="D56" s="1" t="s">
        <v>61</v>
      </c>
      <c r="E56" s="1" t="s">
        <v>69</v>
      </c>
      <c r="F56" s="1" t="s">
        <v>51</v>
      </c>
      <c r="G56">
        <v>4795</v>
      </c>
      <c r="H56" s="8"/>
      <c r="I56" s="4">
        <v>108</v>
      </c>
      <c r="J56" s="4">
        <v>65</v>
      </c>
      <c r="K56" s="8"/>
      <c r="L56" s="4">
        <v>115</v>
      </c>
      <c r="M56" s="4">
        <v>71</v>
      </c>
      <c r="N56" s="4">
        <v>95</v>
      </c>
      <c r="O56" s="4">
        <v>65</v>
      </c>
      <c r="P56" s="4">
        <v>65.529374652945506</v>
      </c>
      <c r="Q56" s="4">
        <v>79.618890668307799</v>
      </c>
      <c r="R56" s="8"/>
      <c r="S56" s="7" t="s">
        <v>33</v>
      </c>
      <c r="T56" s="4">
        <v>126525</v>
      </c>
      <c r="U56" s="4">
        <v>407168</v>
      </c>
      <c r="V56" s="4">
        <v>2733</v>
      </c>
      <c r="W56" s="4">
        <v>132400</v>
      </c>
      <c r="X56" s="4">
        <v>200518</v>
      </c>
      <c r="Y56" s="4">
        <v>206650</v>
      </c>
      <c r="Z56" s="4">
        <v>130000</v>
      </c>
      <c r="AA56" s="4">
        <v>2400</v>
      </c>
      <c r="AB56" s="4">
        <v>73039</v>
      </c>
      <c r="AC56" s="4">
        <v>274412</v>
      </c>
      <c r="AD56" s="4">
        <v>896</v>
      </c>
      <c r="AE56" s="4">
        <v>13373</v>
      </c>
      <c r="AF56" s="4">
        <v>361720</v>
      </c>
      <c r="AG56" s="6">
        <v>21429</v>
      </c>
      <c r="AH56" s="6">
        <v>18650</v>
      </c>
      <c r="AI56" s="6">
        <v>2779</v>
      </c>
      <c r="AJ56" s="6">
        <v>-72512</v>
      </c>
      <c r="AK56" s="6">
        <v>-31.1</v>
      </c>
      <c r="AL56" s="4">
        <v>1509</v>
      </c>
      <c r="AM56" s="4">
        <v>17448</v>
      </c>
      <c r="AN56" s="4">
        <v>349</v>
      </c>
      <c r="AO56" s="6">
        <v>43665</v>
      </c>
      <c r="AP56" s="6">
        <v>14416</v>
      </c>
      <c r="AQ56" s="6">
        <v>10974</v>
      </c>
      <c r="AR56" s="6">
        <v>18275</v>
      </c>
      <c r="AS56" s="6">
        <v>92.3</v>
      </c>
      <c r="AT56" s="6">
        <v>86.3</v>
      </c>
      <c r="AU56" s="6">
        <v>68</v>
      </c>
      <c r="AV56" s="4">
        <v>237</v>
      </c>
      <c r="AW56" s="4">
        <v>154</v>
      </c>
    </row>
    <row r="57" spans="1:49" x14ac:dyDescent="0.2">
      <c r="A57" s="1">
        <v>44670</v>
      </c>
      <c r="B57">
        <f t="shared" si="6"/>
        <v>1.99</v>
      </c>
      <c r="C57" s="1" t="s">
        <v>57</v>
      </c>
      <c r="D57" s="1" t="s">
        <v>61</v>
      </c>
      <c r="E57" s="1" t="s">
        <v>69</v>
      </c>
      <c r="F57" s="1" t="s">
        <v>51</v>
      </c>
      <c r="G57">
        <v>4763</v>
      </c>
      <c r="H57" s="8"/>
      <c r="I57" s="4">
        <v>109</v>
      </c>
      <c r="J57" s="4">
        <v>61</v>
      </c>
      <c r="K57" s="8"/>
      <c r="L57" s="4">
        <v>94</v>
      </c>
      <c r="M57" s="4">
        <v>68</v>
      </c>
      <c r="N57" s="4">
        <v>94</v>
      </c>
      <c r="O57" s="4">
        <v>62</v>
      </c>
      <c r="P57" s="4">
        <v>59.134185604965801</v>
      </c>
      <c r="Q57" s="4">
        <v>75.275930596753199</v>
      </c>
      <c r="R57" s="8"/>
      <c r="S57" s="7" t="s">
        <v>33</v>
      </c>
      <c r="T57" s="4">
        <v>111134</v>
      </c>
      <c r="U57" s="4">
        <v>407168</v>
      </c>
      <c r="V57" s="4">
        <v>2122</v>
      </c>
      <c r="W57" s="4">
        <v>132400</v>
      </c>
      <c r="X57" s="4">
        <v>200518</v>
      </c>
      <c r="Y57" s="4">
        <v>206650</v>
      </c>
      <c r="Z57" s="4">
        <v>130000</v>
      </c>
      <c r="AA57" s="4">
        <v>2400</v>
      </c>
      <c r="AB57" s="4">
        <v>86599</v>
      </c>
      <c r="AC57" s="4">
        <v>300600</v>
      </c>
      <c r="AD57" s="4">
        <v>642</v>
      </c>
      <c r="AE57" s="4">
        <v>5516</v>
      </c>
      <c r="AF57" s="4">
        <v>393357</v>
      </c>
      <c r="AG57" s="6">
        <v>25753</v>
      </c>
      <c r="AH57" s="6">
        <v>22221</v>
      </c>
      <c r="AI57" s="6">
        <v>3532</v>
      </c>
      <c r="AJ57" s="6">
        <v>-75343</v>
      </c>
      <c r="AK57" s="6">
        <v>-30.6</v>
      </c>
      <c r="AL57" s="4">
        <v>1622</v>
      </c>
      <c r="AM57" s="4">
        <v>17991</v>
      </c>
      <c r="AN57" s="4">
        <v>336</v>
      </c>
      <c r="AO57" s="6">
        <v>42805</v>
      </c>
      <c r="AP57" s="6">
        <v>15137</v>
      </c>
      <c r="AQ57" s="6">
        <v>11105</v>
      </c>
      <c r="AR57" s="6">
        <v>16563</v>
      </c>
      <c r="AS57" s="6">
        <v>92.3</v>
      </c>
      <c r="AT57" s="6">
        <v>86.3</v>
      </c>
      <c r="AU57" s="6">
        <v>68</v>
      </c>
      <c r="AV57" s="4">
        <v>204</v>
      </c>
      <c r="AW57" s="4">
        <v>154</v>
      </c>
    </row>
    <row r="58" spans="1:49" x14ac:dyDescent="0.2">
      <c r="A58" s="1">
        <v>44669</v>
      </c>
      <c r="B58">
        <f t="shared" si="6"/>
        <v>1.99</v>
      </c>
      <c r="C58" s="1" t="s">
        <v>57</v>
      </c>
      <c r="D58" s="1" t="s">
        <v>61</v>
      </c>
      <c r="E58" s="1" t="s">
        <v>69</v>
      </c>
      <c r="F58" s="1" t="s">
        <v>51</v>
      </c>
      <c r="G58">
        <v>4784</v>
      </c>
      <c r="H58" s="8"/>
      <c r="I58" s="4">
        <v>115</v>
      </c>
      <c r="J58" s="4">
        <v>24</v>
      </c>
      <c r="K58" s="8"/>
      <c r="L58" s="4">
        <v>149</v>
      </c>
      <c r="M58" s="4">
        <v>76</v>
      </c>
      <c r="N58" s="4">
        <v>87</v>
      </c>
      <c r="O58" s="4">
        <v>48</v>
      </c>
      <c r="P58" s="4">
        <v>37.214477936804201</v>
      </c>
      <c r="Q58" s="4">
        <v>49.493814314143599</v>
      </c>
      <c r="R58" s="8"/>
      <c r="S58" s="7" t="s">
        <v>33</v>
      </c>
      <c r="T58" s="4">
        <v>102782</v>
      </c>
      <c r="U58" s="4">
        <v>407168</v>
      </c>
      <c r="V58" s="4">
        <v>161</v>
      </c>
      <c r="W58" s="4">
        <v>132400</v>
      </c>
      <c r="X58" s="4">
        <v>200518</v>
      </c>
      <c r="Y58" s="4">
        <v>206650</v>
      </c>
      <c r="Z58" s="4">
        <v>130000</v>
      </c>
      <c r="AA58" s="4">
        <v>2400</v>
      </c>
      <c r="AB58" s="4">
        <v>70332</v>
      </c>
      <c r="AC58" s="4">
        <v>265208</v>
      </c>
      <c r="AD58" s="4">
        <v>161</v>
      </c>
      <c r="AE58" s="4">
        <v>202</v>
      </c>
      <c r="AF58" s="4">
        <v>335903</v>
      </c>
      <c r="AG58" s="6">
        <v>25178</v>
      </c>
      <c r="AH58" s="6">
        <v>21927</v>
      </c>
      <c r="AI58" s="6">
        <v>3251</v>
      </c>
      <c r="AJ58" s="6">
        <v>-82692</v>
      </c>
      <c r="AK58" s="6">
        <v>-31.6</v>
      </c>
      <c r="AL58" s="4">
        <v>1666</v>
      </c>
      <c r="AM58" s="4">
        <v>17538</v>
      </c>
      <c r="AN58" s="4">
        <v>326</v>
      </c>
      <c r="AO58" s="6">
        <v>14171</v>
      </c>
      <c r="AP58" s="6">
        <v>6040</v>
      </c>
      <c r="AQ58" s="6">
        <v>3541</v>
      </c>
      <c r="AR58" s="6">
        <v>4590</v>
      </c>
      <c r="AS58" s="6">
        <v>92.2</v>
      </c>
      <c r="AT58" s="6">
        <v>86.3</v>
      </c>
      <c r="AU58" s="6">
        <v>67.900000000000006</v>
      </c>
      <c r="AV58" s="4">
        <v>250</v>
      </c>
      <c r="AW58" s="4">
        <v>166</v>
      </c>
    </row>
    <row r="59" spans="1:49" x14ac:dyDescent="0.2">
      <c r="A59" s="1">
        <v>44668</v>
      </c>
      <c r="B59">
        <v>-6</v>
      </c>
      <c r="C59" s="1" t="s">
        <v>57</v>
      </c>
      <c r="D59" s="1" t="s">
        <v>61</v>
      </c>
      <c r="E59" s="1" t="s">
        <v>69</v>
      </c>
      <c r="F59" s="1" t="s">
        <v>51</v>
      </c>
      <c r="G59">
        <v>4771</v>
      </c>
      <c r="H59" s="8"/>
      <c r="I59" s="4">
        <v>98</v>
      </c>
      <c r="J59" s="4">
        <v>79</v>
      </c>
      <c r="K59" s="8"/>
      <c r="L59" s="4">
        <v>124</v>
      </c>
      <c r="M59" s="4">
        <v>61</v>
      </c>
      <c r="N59" s="4">
        <v>61</v>
      </c>
      <c r="O59" s="4">
        <v>74</v>
      </c>
      <c r="P59" s="4">
        <v>79.374306567345897</v>
      </c>
      <c r="Q59" s="4">
        <v>85.781394313830702</v>
      </c>
      <c r="R59" s="8"/>
      <c r="S59" s="7" t="s">
        <v>33</v>
      </c>
      <c r="T59" s="4">
        <v>74438</v>
      </c>
      <c r="U59" s="4">
        <v>407168</v>
      </c>
      <c r="V59" s="4">
        <v>283</v>
      </c>
      <c r="W59" s="4">
        <v>132400</v>
      </c>
      <c r="X59" s="4">
        <v>200518</v>
      </c>
      <c r="Y59" s="4">
        <v>206650</v>
      </c>
      <c r="Z59" s="4">
        <v>130000</v>
      </c>
      <c r="AA59" s="4">
        <v>2400</v>
      </c>
      <c r="AB59" s="4">
        <v>49701</v>
      </c>
      <c r="AC59" s="4">
        <v>200078</v>
      </c>
      <c r="AD59" s="4">
        <v>283</v>
      </c>
      <c r="AE59" s="4">
        <v>10893</v>
      </c>
      <c r="AF59" s="4">
        <v>260955</v>
      </c>
      <c r="AG59" s="6">
        <v>20140</v>
      </c>
      <c r="AH59" s="6">
        <v>17841</v>
      </c>
      <c r="AI59" s="6">
        <v>2299</v>
      </c>
      <c r="AJ59" s="6">
        <v>-86930</v>
      </c>
      <c r="AK59" s="6">
        <v>-31.3</v>
      </c>
      <c r="AL59" s="4">
        <v>1489</v>
      </c>
      <c r="AM59" s="4">
        <v>17637</v>
      </c>
      <c r="AN59" s="4">
        <v>328</v>
      </c>
      <c r="AO59" s="6">
        <v>10429</v>
      </c>
      <c r="AP59" s="6">
        <v>4823</v>
      </c>
      <c r="AQ59" s="6">
        <v>2643</v>
      </c>
      <c r="AR59" s="6">
        <v>2963</v>
      </c>
      <c r="AS59" s="6">
        <v>92.2</v>
      </c>
      <c r="AT59" s="6">
        <v>86.3</v>
      </c>
      <c r="AU59" s="6">
        <v>67.900000000000006</v>
      </c>
      <c r="AV59" s="4">
        <v>253</v>
      </c>
      <c r="AW59" s="4">
        <v>159</v>
      </c>
    </row>
    <row r="60" spans="1:49" x14ac:dyDescent="0.2">
      <c r="A60" s="1">
        <v>44667</v>
      </c>
      <c r="B60">
        <f>B59</f>
        <v>-6</v>
      </c>
      <c r="C60" s="1" t="s">
        <v>57</v>
      </c>
      <c r="D60" s="1" t="s">
        <v>61</v>
      </c>
      <c r="E60" s="1" t="s">
        <v>69</v>
      </c>
      <c r="F60" s="1" t="s">
        <v>51</v>
      </c>
      <c r="G60">
        <v>4753</v>
      </c>
      <c r="H60" s="8"/>
      <c r="I60" s="4">
        <v>101</v>
      </c>
      <c r="J60" s="4">
        <v>80</v>
      </c>
      <c r="K60" s="8"/>
      <c r="L60" s="4">
        <v>103</v>
      </c>
      <c r="M60" s="4">
        <v>67</v>
      </c>
      <c r="N60" s="4">
        <v>91</v>
      </c>
      <c r="O60" s="4">
        <v>71</v>
      </c>
      <c r="P60" s="4">
        <v>68.683317775096199</v>
      </c>
      <c r="Q60" s="4">
        <v>81.908080007762393</v>
      </c>
      <c r="R60" s="8"/>
      <c r="S60" s="7" t="s">
        <v>33</v>
      </c>
      <c r="T60" s="4">
        <v>76572</v>
      </c>
      <c r="U60" s="4">
        <v>407168</v>
      </c>
      <c r="V60" s="4">
        <v>352</v>
      </c>
      <c r="W60" s="4">
        <v>132400</v>
      </c>
      <c r="X60" s="4">
        <v>200518</v>
      </c>
      <c r="Y60" s="4">
        <v>206650</v>
      </c>
      <c r="Z60" s="4">
        <v>130000</v>
      </c>
      <c r="AA60" s="4">
        <v>2400</v>
      </c>
      <c r="AB60" s="4">
        <v>45594</v>
      </c>
      <c r="AC60" s="4">
        <v>200108</v>
      </c>
      <c r="AD60" s="4">
        <v>352</v>
      </c>
      <c r="AE60" s="4">
        <v>12112</v>
      </c>
      <c r="AF60" s="4">
        <v>258166</v>
      </c>
      <c r="AG60" s="6">
        <v>19915</v>
      </c>
      <c r="AH60" s="6">
        <v>17788</v>
      </c>
      <c r="AI60" s="6">
        <v>2127</v>
      </c>
      <c r="AJ60" s="6">
        <v>-87395</v>
      </c>
      <c r="AK60" s="6">
        <v>-30.1999999999999</v>
      </c>
      <c r="AL60" s="4">
        <v>1449</v>
      </c>
      <c r="AM60" s="4">
        <v>17806</v>
      </c>
      <c r="AN60" s="4">
        <v>332</v>
      </c>
      <c r="AO60" s="6">
        <v>41354</v>
      </c>
      <c r="AP60" s="6">
        <v>18165</v>
      </c>
      <c r="AQ60" s="6">
        <v>11301</v>
      </c>
      <c r="AR60" s="6">
        <v>11888</v>
      </c>
      <c r="AS60" s="6">
        <v>92.2</v>
      </c>
      <c r="AT60" s="6">
        <v>86.3</v>
      </c>
      <c r="AU60" s="6">
        <v>67.900000000000006</v>
      </c>
      <c r="AV60" s="4">
        <v>255</v>
      </c>
      <c r="AW60" s="4">
        <v>163</v>
      </c>
    </row>
    <row r="61" spans="1:49" x14ac:dyDescent="0.2">
      <c r="A61" s="1">
        <v>44666</v>
      </c>
      <c r="B61">
        <f t="shared" ref="B61:B65" si="7">B60</f>
        <v>-6</v>
      </c>
      <c r="C61" s="1" t="s">
        <v>57</v>
      </c>
      <c r="D61" s="1" t="s">
        <v>61</v>
      </c>
      <c r="E61" s="1" t="s">
        <v>69</v>
      </c>
      <c r="F61" s="1" t="s">
        <v>51</v>
      </c>
      <c r="G61">
        <v>4756</v>
      </c>
      <c r="H61" s="8"/>
      <c r="I61" s="4">
        <v>114</v>
      </c>
      <c r="J61" s="4">
        <v>30</v>
      </c>
      <c r="K61" s="8"/>
      <c r="L61" s="4">
        <v>134</v>
      </c>
      <c r="M61" s="4">
        <v>70</v>
      </c>
      <c r="N61" s="4">
        <v>91</v>
      </c>
      <c r="O61" s="4">
        <v>53</v>
      </c>
      <c r="P61" s="4">
        <v>45.668581680788598</v>
      </c>
      <c r="Q61" s="4">
        <v>59.981958968332997</v>
      </c>
      <c r="R61" s="8"/>
      <c r="S61" s="7" t="s">
        <v>33</v>
      </c>
      <c r="T61" s="4">
        <v>85916</v>
      </c>
      <c r="U61" s="4">
        <v>407168</v>
      </c>
      <c r="V61" s="4">
        <v>413</v>
      </c>
      <c r="W61" s="4">
        <v>132400</v>
      </c>
      <c r="X61" s="4">
        <v>200518</v>
      </c>
      <c r="Y61" s="4">
        <v>206650</v>
      </c>
      <c r="Z61" s="4">
        <v>130000</v>
      </c>
      <c r="AA61" s="4">
        <v>2400</v>
      </c>
      <c r="AB61" s="4">
        <v>46758</v>
      </c>
      <c r="AC61" s="4">
        <v>241177</v>
      </c>
      <c r="AD61" s="4">
        <v>413</v>
      </c>
      <c r="AE61" s="4">
        <v>13239</v>
      </c>
      <c r="AF61" s="4">
        <v>301587</v>
      </c>
      <c r="AG61" s="6">
        <v>21609</v>
      </c>
      <c r="AH61" s="6">
        <v>19215</v>
      </c>
      <c r="AI61" s="6">
        <v>2394</v>
      </c>
      <c r="AJ61" s="6">
        <v>-89162</v>
      </c>
      <c r="AK61" s="6">
        <v>-29.8</v>
      </c>
      <c r="AL61" s="4">
        <v>1644</v>
      </c>
      <c r="AM61" s="4">
        <v>17885</v>
      </c>
      <c r="AN61" s="4">
        <v>320</v>
      </c>
      <c r="AO61" s="6">
        <v>23176</v>
      </c>
      <c r="AP61" s="6">
        <v>11444</v>
      </c>
      <c r="AQ61" s="6">
        <v>5516</v>
      </c>
      <c r="AR61" s="6">
        <v>6216</v>
      </c>
      <c r="AS61" s="6">
        <v>92.2</v>
      </c>
      <c r="AT61" s="6">
        <v>86.3</v>
      </c>
      <c r="AU61" s="6">
        <v>67.900000000000006</v>
      </c>
      <c r="AV61" s="4">
        <v>250</v>
      </c>
      <c r="AW61" s="4">
        <v>166</v>
      </c>
    </row>
    <row r="62" spans="1:49" x14ac:dyDescent="0.2">
      <c r="A62" s="1">
        <v>44665</v>
      </c>
      <c r="B62">
        <f t="shared" si="7"/>
        <v>-6</v>
      </c>
      <c r="C62" s="1" t="s">
        <v>57</v>
      </c>
      <c r="D62" s="1" t="s">
        <v>61</v>
      </c>
      <c r="E62" s="1" t="s">
        <v>69</v>
      </c>
      <c r="F62" s="1" t="s">
        <v>51</v>
      </c>
      <c r="G62">
        <v>4780</v>
      </c>
      <c r="H62" s="8"/>
      <c r="I62" s="4">
        <v>107</v>
      </c>
      <c r="J62" s="4">
        <v>54</v>
      </c>
      <c r="K62" s="8"/>
      <c r="L62" s="4">
        <v>121</v>
      </c>
      <c r="M62" s="4">
        <v>81</v>
      </c>
      <c r="N62" s="4">
        <v>101</v>
      </c>
      <c r="O62" s="4">
        <v>65</v>
      </c>
      <c r="P62" s="4">
        <v>64.1531600694247</v>
      </c>
      <c r="Q62" s="4">
        <v>72.629283674399403</v>
      </c>
      <c r="R62" s="8"/>
      <c r="S62" s="7" t="s">
        <v>33</v>
      </c>
      <c r="T62" s="4">
        <v>101884</v>
      </c>
      <c r="U62" s="4">
        <v>407192</v>
      </c>
      <c r="V62" s="4">
        <v>3225</v>
      </c>
      <c r="W62" s="4">
        <v>132400</v>
      </c>
      <c r="X62" s="4">
        <v>200542</v>
      </c>
      <c r="Y62" s="4">
        <v>206650</v>
      </c>
      <c r="Z62" s="4">
        <v>130000</v>
      </c>
      <c r="AA62" s="4">
        <v>2400</v>
      </c>
      <c r="AB62" s="4">
        <v>58028</v>
      </c>
      <c r="AC62" s="4">
        <v>318499</v>
      </c>
      <c r="AD62" s="4">
        <v>1087</v>
      </c>
      <c r="AE62" s="4">
        <v>16008</v>
      </c>
      <c r="AF62" s="4">
        <v>393622</v>
      </c>
      <c r="AG62" s="6">
        <v>26630</v>
      </c>
      <c r="AH62" s="6">
        <v>23595</v>
      </c>
      <c r="AI62" s="6">
        <v>3035</v>
      </c>
      <c r="AJ62" s="6">
        <v>-92333</v>
      </c>
      <c r="AK62" s="6">
        <v>-29.5</v>
      </c>
      <c r="AL62" s="4">
        <v>1898</v>
      </c>
      <c r="AM62" s="4">
        <v>18589</v>
      </c>
      <c r="AN62" s="4">
        <v>349</v>
      </c>
      <c r="AO62" s="6">
        <v>55765</v>
      </c>
      <c r="AP62" s="6">
        <v>22841</v>
      </c>
      <c r="AQ62" s="6">
        <v>13397</v>
      </c>
      <c r="AR62" s="6">
        <v>19527</v>
      </c>
      <c r="AS62" s="6">
        <v>92.2</v>
      </c>
      <c r="AT62" s="6">
        <v>86.3</v>
      </c>
      <c r="AU62" s="6">
        <v>67.900000000000006</v>
      </c>
      <c r="AV62" s="4">
        <v>271</v>
      </c>
      <c r="AW62" s="4">
        <v>187</v>
      </c>
    </row>
    <row r="63" spans="1:49" x14ac:dyDescent="0.2">
      <c r="A63" s="1">
        <v>44664</v>
      </c>
      <c r="B63">
        <f t="shared" si="7"/>
        <v>-6</v>
      </c>
      <c r="C63" s="1" t="s">
        <v>57</v>
      </c>
      <c r="D63" s="1" t="s">
        <v>61</v>
      </c>
      <c r="E63" s="1" t="s">
        <v>69</v>
      </c>
      <c r="F63" s="1" t="s">
        <v>51</v>
      </c>
      <c r="G63">
        <v>4810</v>
      </c>
      <c r="H63" s="8"/>
      <c r="I63" s="4">
        <v>109</v>
      </c>
      <c r="J63" s="4">
        <v>57</v>
      </c>
      <c r="K63" s="8"/>
      <c r="L63" s="4">
        <v>110</v>
      </c>
      <c r="M63" s="4">
        <v>75</v>
      </c>
      <c r="N63" s="4">
        <v>93</v>
      </c>
      <c r="O63" s="4">
        <v>63</v>
      </c>
      <c r="P63" s="4">
        <v>63.544474874675899</v>
      </c>
      <c r="Q63" s="4">
        <v>69.062573561513204</v>
      </c>
      <c r="R63" s="8"/>
      <c r="S63" s="7" t="s">
        <v>33</v>
      </c>
      <c r="T63" s="4">
        <v>135754</v>
      </c>
      <c r="U63" s="4">
        <v>407173</v>
      </c>
      <c r="V63" s="4">
        <v>2339</v>
      </c>
      <c r="W63" s="4">
        <v>132400</v>
      </c>
      <c r="X63" s="4">
        <v>200523</v>
      </c>
      <c r="Y63" s="4">
        <v>206650</v>
      </c>
      <c r="Z63" s="4">
        <v>130000</v>
      </c>
      <c r="AA63" s="4">
        <v>2400</v>
      </c>
      <c r="AB63" s="4">
        <v>70297</v>
      </c>
      <c r="AC63" s="4">
        <v>329049</v>
      </c>
      <c r="AD63" s="4">
        <v>825</v>
      </c>
      <c r="AE63" s="4">
        <v>17716</v>
      </c>
      <c r="AF63" s="4">
        <v>417887</v>
      </c>
      <c r="AG63" s="6">
        <v>31657</v>
      </c>
      <c r="AH63" s="6">
        <v>28099</v>
      </c>
      <c r="AI63" s="6">
        <v>3558</v>
      </c>
      <c r="AJ63" s="6">
        <v>-96425</v>
      </c>
      <c r="AK63" s="6">
        <v>-29.3</v>
      </c>
      <c r="AL63" s="4">
        <v>2112</v>
      </c>
      <c r="AM63" s="4">
        <v>19112</v>
      </c>
      <c r="AN63" s="4">
        <v>355</v>
      </c>
      <c r="AO63" s="6">
        <v>51119</v>
      </c>
      <c r="AP63" s="6">
        <v>19404</v>
      </c>
      <c r="AQ63" s="6">
        <v>12621</v>
      </c>
      <c r="AR63" s="6">
        <v>19094</v>
      </c>
      <c r="AS63" s="6">
        <v>92.1</v>
      </c>
      <c r="AT63" s="6">
        <v>86.2</v>
      </c>
      <c r="AU63" s="6">
        <v>67.900000000000006</v>
      </c>
      <c r="AV63" s="4">
        <v>291</v>
      </c>
      <c r="AW63" s="4">
        <v>214</v>
      </c>
    </row>
    <row r="64" spans="1:49" x14ac:dyDescent="0.2">
      <c r="A64" s="1">
        <v>44663</v>
      </c>
      <c r="B64">
        <f t="shared" si="7"/>
        <v>-6</v>
      </c>
      <c r="C64" s="1" t="s">
        <v>57</v>
      </c>
      <c r="D64" s="1" t="s">
        <v>61</v>
      </c>
      <c r="E64" s="1" t="s">
        <v>69</v>
      </c>
      <c r="F64" s="1" t="s">
        <v>51</v>
      </c>
      <c r="G64">
        <v>4839</v>
      </c>
      <c r="H64" s="8"/>
      <c r="I64" s="4">
        <v>109</v>
      </c>
      <c r="J64" s="4">
        <v>57</v>
      </c>
      <c r="K64" s="8"/>
      <c r="L64" s="4">
        <v>103</v>
      </c>
      <c r="M64" s="4">
        <v>75</v>
      </c>
      <c r="N64" s="4">
        <v>93</v>
      </c>
      <c r="O64" s="4">
        <v>64</v>
      </c>
      <c r="P64" s="4">
        <v>63.812716547145001</v>
      </c>
      <c r="Q64" s="4">
        <v>68.5683006778129</v>
      </c>
      <c r="R64" s="8"/>
      <c r="S64" s="7" t="s">
        <v>33</v>
      </c>
      <c r="T64" s="4">
        <v>124912</v>
      </c>
      <c r="U64" s="4">
        <v>429173</v>
      </c>
      <c r="V64" s="4">
        <v>2628</v>
      </c>
      <c r="W64" s="4">
        <v>132400</v>
      </c>
      <c r="X64" s="4">
        <v>200523</v>
      </c>
      <c r="Y64" s="4">
        <v>228650</v>
      </c>
      <c r="Z64" s="4">
        <v>130000</v>
      </c>
      <c r="AA64" s="4">
        <v>2400</v>
      </c>
      <c r="AB64" s="4">
        <v>77239</v>
      </c>
      <c r="AC64" s="4">
        <v>329234</v>
      </c>
      <c r="AD64" s="4">
        <v>969</v>
      </c>
      <c r="AE64" s="4">
        <v>8752</v>
      </c>
      <c r="AF64" s="4">
        <v>416194</v>
      </c>
      <c r="AG64" s="6">
        <v>33735</v>
      </c>
      <c r="AH64" s="6">
        <v>29787</v>
      </c>
      <c r="AI64" s="6">
        <v>3948</v>
      </c>
      <c r="AJ64" s="6">
        <v>-112317</v>
      </c>
      <c r="AK64" s="6">
        <v>-31.3</v>
      </c>
      <c r="AL64" s="4">
        <v>2243</v>
      </c>
      <c r="AM64" s="4">
        <v>19870</v>
      </c>
      <c r="AN64" s="4">
        <v>385</v>
      </c>
      <c r="AO64" s="6">
        <v>46831</v>
      </c>
      <c r="AP64" s="6">
        <v>17501</v>
      </c>
      <c r="AQ64" s="6">
        <v>11541</v>
      </c>
      <c r="AR64" s="6">
        <v>17789</v>
      </c>
      <c r="AS64" s="6">
        <v>92.1</v>
      </c>
      <c r="AT64" s="6">
        <v>86.2</v>
      </c>
      <c r="AU64" s="6">
        <v>67.8</v>
      </c>
      <c r="AV64" s="4">
        <v>281</v>
      </c>
      <c r="AW64" s="4">
        <v>192</v>
      </c>
    </row>
    <row r="65" spans="1:49" x14ac:dyDescent="0.2">
      <c r="A65" s="1">
        <v>44662</v>
      </c>
      <c r="B65">
        <f t="shared" si="7"/>
        <v>-6</v>
      </c>
      <c r="C65" s="1" t="s">
        <v>57</v>
      </c>
      <c r="D65" s="1" t="s">
        <v>61</v>
      </c>
      <c r="E65" s="1" t="s">
        <v>69</v>
      </c>
      <c r="F65" s="1" t="s">
        <v>51</v>
      </c>
      <c r="G65">
        <v>4815</v>
      </c>
      <c r="H65" s="8"/>
      <c r="I65" s="4">
        <v>109</v>
      </c>
      <c r="J65" s="4">
        <v>55</v>
      </c>
      <c r="K65" s="8"/>
      <c r="L65" s="4">
        <v>120</v>
      </c>
      <c r="M65" s="4">
        <v>78</v>
      </c>
      <c r="N65" s="4">
        <v>95</v>
      </c>
      <c r="O65" s="4">
        <v>63</v>
      </c>
      <c r="P65" s="4">
        <v>59.750997993174302</v>
      </c>
      <c r="Q65" s="4">
        <v>68.058051165867994</v>
      </c>
      <c r="R65" s="8"/>
      <c r="S65" s="7" t="s">
        <v>33</v>
      </c>
      <c r="T65" s="4">
        <v>116414</v>
      </c>
      <c r="U65" s="4">
        <v>429173</v>
      </c>
      <c r="V65" s="4">
        <v>2344</v>
      </c>
      <c r="W65" s="4">
        <v>132400</v>
      </c>
      <c r="X65" s="4">
        <v>200523</v>
      </c>
      <c r="Y65" s="4">
        <v>228650</v>
      </c>
      <c r="Z65" s="4">
        <v>130000</v>
      </c>
      <c r="AA65" s="4">
        <v>2400</v>
      </c>
      <c r="AB65" s="4">
        <v>86352</v>
      </c>
      <c r="AC65" s="4">
        <v>376964</v>
      </c>
      <c r="AD65" s="4">
        <v>753</v>
      </c>
      <c r="AE65" s="4">
        <v>9616</v>
      </c>
      <c r="AF65" s="4">
        <v>473685</v>
      </c>
      <c r="AG65" s="6">
        <v>37349</v>
      </c>
      <c r="AH65" s="6">
        <v>32851</v>
      </c>
      <c r="AI65" s="6">
        <v>4498</v>
      </c>
      <c r="AJ65" s="6">
        <v>-128059</v>
      </c>
      <c r="AK65" s="6">
        <v>-32.899999999999899</v>
      </c>
      <c r="AL65" s="4">
        <v>2112</v>
      </c>
      <c r="AM65" s="4">
        <v>20171</v>
      </c>
      <c r="AN65" s="4">
        <v>379</v>
      </c>
      <c r="AO65" s="6">
        <v>45244</v>
      </c>
      <c r="AP65" s="6">
        <v>15946</v>
      </c>
      <c r="AQ65" s="6">
        <v>11969</v>
      </c>
      <c r="AR65" s="6">
        <v>17329</v>
      </c>
      <c r="AS65" s="6">
        <v>92.1</v>
      </c>
      <c r="AT65" s="6">
        <v>86.2</v>
      </c>
      <c r="AU65" s="6">
        <v>67.8</v>
      </c>
      <c r="AV65" s="4">
        <v>260</v>
      </c>
      <c r="AW65" s="4">
        <v>177</v>
      </c>
    </row>
    <row r="66" spans="1:49" x14ac:dyDescent="0.2">
      <c r="A66" s="1">
        <v>44661</v>
      </c>
      <c r="B66">
        <v>4.1500000000000004</v>
      </c>
      <c r="C66" s="1" t="s">
        <v>57</v>
      </c>
      <c r="D66" s="1" t="s">
        <v>61</v>
      </c>
      <c r="E66" s="1" t="s">
        <v>69</v>
      </c>
      <c r="F66" s="1" t="s">
        <v>51</v>
      </c>
      <c r="G66">
        <v>4816</v>
      </c>
      <c r="H66" s="8"/>
      <c r="I66" s="4">
        <v>100</v>
      </c>
      <c r="J66" s="4">
        <v>91</v>
      </c>
      <c r="K66" s="8"/>
      <c r="L66" s="4">
        <v>105</v>
      </c>
      <c r="M66" s="4">
        <v>76</v>
      </c>
      <c r="N66" s="4">
        <v>90</v>
      </c>
      <c r="O66" s="4">
        <v>77</v>
      </c>
      <c r="P66" s="4">
        <v>87.334195207704894</v>
      </c>
      <c r="Q66" s="4">
        <v>91.398143075922604</v>
      </c>
      <c r="R66" s="8"/>
      <c r="S66" s="7" t="s">
        <v>33</v>
      </c>
      <c r="T66" s="4">
        <v>92319</v>
      </c>
      <c r="U66" s="4">
        <v>422173</v>
      </c>
      <c r="V66" s="4">
        <v>247</v>
      </c>
      <c r="W66" s="4">
        <v>132400</v>
      </c>
      <c r="X66" s="4">
        <v>200523</v>
      </c>
      <c r="Y66" s="4">
        <v>221650</v>
      </c>
      <c r="Z66" s="4">
        <v>130000</v>
      </c>
      <c r="AA66" s="4">
        <v>2400</v>
      </c>
      <c r="AB66" s="4">
        <v>58472</v>
      </c>
      <c r="AC66" s="4">
        <v>255846</v>
      </c>
      <c r="AD66" s="4">
        <v>247</v>
      </c>
      <c r="AE66" s="4">
        <v>11774</v>
      </c>
      <c r="AF66" s="4">
        <v>326339</v>
      </c>
      <c r="AG66" s="6">
        <v>30929</v>
      </c>
      <c r="AH66" s="6">
        <v>27565</v>
      </c>
      <c r="AI66" s="6">
        <v>3364</v>
      </c>
      <c r="AJ66" s="6">
        <v>-150794</v>
      </c>
      <c r="AK66" s="6">
        <v>-35.200000000000003</v>
      </c>
      <c r="AL66" s="4">
        <v>1995</v>
      </c>
      <c r="AM66" s="4">
        <v>19737</v>
      </c>
      <c r="AN66" s="4">
        <v>372</v>
      </c>
      <c r="AO66" s="6">
        <v>34422</v>
      </c>
      <c r="AP66" s="6">
        <v>15276</v>
      </c>
      <c r="AQ66" s="6">
        <v>8900</v>
      </c>
      <c r="AR66" s="6">
        <v>10246</v>
      </c>
      <c r="AS66" s="6">
        <v>92</v>
      </c>
      <c r="AT66" s="6">
        <v>86.2</v>
      </c>
      <c r="AU66" s="6">
        <v>67.8</v>
      </c>
      <c r="AV66" s="4">
        <v>283</v>
      </c>
      <c r="AW66" s="4">
        <v>191</v>
      </c>
    </row>
    <row r="67" spans="1:49" x14ac:dyDescent="0.2">
      <c r="A67" s="1">
        <v>44660</v>
      </c>
      <c r="B67">
        <f>B66</f>
        <v>4.1500000000000004</v>
      </c>
      <c r="C67" s="1" t="s">
        <v>57</v>
      </c>
      <c r="D67" s="1" t="s">
        <v>61</v>
      </c>
      <c r="E67" s="1" t="s">
        <v>69</v>
      </c>
      <c r="F67" s="1" t="s">
        <v>51</v>
      </c>
      <c r="G67">
        <v>4786</v>
      </c>
      <c r="H67" s="8"/>
      <c r="I67" s="4">
        <v>101</v>
      </c>
      <c r="J67" s="4">
        <v>89</v>
      </c>
      <c r="K67" s="8"/>
      <c r="L67" s="4">
        <v>84</v>
      </c>
      <c r="M67" s="4">
        <v>72</v>
      </c>
      <c r="N67" s="4">
        <v>91</v>
      </c>
      <c r="O67" s="4">
        <v>76</v>
      </c>
      <c r="P67" s="4">
        <v>79.363213454001695</v>
      </c>
      <c r="Q67" s="4">
        <v>81.668649902251602</v>
      </c>
      <c r="R67" s="8"/>
      <c r="S67" s="7" t="s">
        <v>33</v>
      </c>
      <c r="T67" s="4">
        <v>108183</v>
      </c>
      <c r="U67" s="4">
        <v>422173</v>
      </c>
      <c r="V67" s="4">
        <v>454</v>
      </c>
      <c r="W67" s="4">
        <v>132400</v>
      </c>
      <c r="X67" s="4">
        <v>200523</v>
      </c>
      <c r="Y67" s="4">
        <v>221650</v>
      </c>
      <c r="Z67" s="4">
        <v>130000</v>
      </c>
      <c r="AA67" s="4">
        <v>2400</v>
      </c>
      <c r="AB67" s="4">
        <v>60211</v>
      </c>
      <c r="AC67" s="4">
        <v>276754</v>
      </c>
      <c r="AD67" s="4">
        <v>454</v>
      </c>
      <c r="AE67" s="4">
        <v>9337</v>
      </c>
      <c r="AF67" s="4">
        <v>346756</v>
      </c>
      <c r="AG67" s="6">
        <v>27870</v>
      </c>
      <c r="AH67" s="6">
        <v>24827</v>
      </c>
      <c r="AI67" s="6">
        <v>3043</v>
      </c>
      <c r="AJ67" s="6">
        <v>-165683</v>
      </c>
      <c r="AK67" s="6">
        <v>-36.399999999999899</v>
      </c>
      <c r="AL67" s="4">
        <v>1906</v>
      </c>
      <c r="AM67" s="4">
        <v>19593</v>
      </c>
      <c r="AN67" s="4">
        <v>367</v>
      </c>
      <c r="AO67" s="6">
        <v>59533</v>
      </c>
      <c r="AP67" s="6">
        <v>25179</v>
      </c>
      <c r="AQ67" s="6">
        <v>15933</v>
      </c>
      <c r="AR67" s="6">
        <v>18421</v>
      </c>
      <c r="AS67" s="6">
        <v>92</v>
      </c>
      <c r="AT67" s="6">
        <v>86.2</v>
      </c>
      <c r="AU67" s="6">
        <v>67.8</v>
      </c>
      <c r="AV67" s="4">
        <v>262</v>
      </c>
      <c r="AW67" s="4">
        <v>167</v>
      </c>
    </row>
    <row r="68" spans="1:49" x14ac:dyDescent="0.2">
      <c r="A68" s="1">
        <v>44659</v>
      </c>
      <c r="B68">
        <f t="shared" ref="B68:B72" si="8">B67</f>
        <v>4.1500000000000004</v>
      </c>
      <c r="C68" s="1" t="s">
        <v>57</v>
      </c>
      <c r="D68" s="1" t="s">
        <v>61</v>
      </c>
      <c r="E68" s="1" t="s">
        <v>69</v>
      </c>
      <c r="F68" s="1" t="s">
        <v>51</v>
      </c>
      <c r="G68">
        <v>4769</v>
      </c>
      <c r="H68" s="8"/>
      <c r="I68" s="4">
        <v>110</v>
      </c>
      <c r="J68" s="4">
        <v>57</v>
      </c>
      <c r="K68" s="8"/>
      <c r="L68" s="4">
        <v>85</v>
      </c>
      <c r="M68" s="4">
        <v>69</v>
      </c>
      <c r="N68" s="4">
        <v>92</v>
      </c>
      <c r="O68" s="4">
        <v>63</v>
      </c>
      <c r="P68" s="4">
        <v>59.028459400283801</v>
      </c>
      <c r="Q68" s="4">
        <v>68.89137402838</v>
      </c>
      <c r="R68" s="8"/>
      <c r="S68" s="7" t="s">
        <v>33</v>
      </c>
      <c r="T68" s="4">
        <v>120611</v>
      </c>
      <c r="U68" s="4">
        <v>422173</v>
      </c>
      <c r="V68" s="4">
        <v>2994</v>
      </c>
      <c r="W68" s="4">
        <v>132400</v>
      </c>
      <c r="X68" s="4">
        <v>200523</v>
      </c>
      <c r="Y68" s="4">
        <v>221650</v>
      </c>
      <c r="Z68" s="4">
        <v>130000</v>
      </c>
      <c r="AA68" s="4">
        <v>2400</v>
      </c>
      <c r="AB68" s="4">
        <v>69034</v>
      </c>
      <c r="AC68" s="4">
        <v>364764</v>
      </c>
      <c r="AD68" s="4">
        <v>1128</v>
      </c>
      <c r="AE68" s="4">
        <v>12403</v>
      </c>
      <c r="AF68" s="4">
        <v>447329</v>
      </c>
      <c r="AG68" s="6">
        <v>32960</v>
      </c>
      <c r="AH68" s="6">
        <v>29233</v>
      </c>
      <c r="AI68" s="6">
        <v>3727</v>
      </c>
      <c r="AJ68" s="6">
        <v>-179829</v>
      </c>
      <c r="AK68" s="6">
        <v>-37.6</v>
      </c>
      <c r="AL68" s="4">
        <v>2000</v>
      </c>
      <c r="AM68" s="4">
        <v>20165</v>
      </c>
      <c r="AN68" s="4">
        <v>355</v>
      </c>
      <c r="AO68" s="6">
        <v>41261</v>
      </c>
      <c r="AP68" s="6">
        <v>12200</v>
      </c>
      <c r="AQ68" s="6">
        <v>11673</v>
      </c>
      <c r="AR68" s="6">
        <v>17388</v>
      </c>
      <c r="AS68" s="6">
        <v>92</v>
      </c>
      <c r="AT68" s="6">
        <v>86.1</v>
      </c>
      <c r="AU68" s="6">
        <v>67.7</v>
      </c>
      <c r="AV68" s="4">
        <v>303</v>
      </c>
      <c r="AW68" s="4">
        <v>228</v>
      </c>
    </row>
    <row r="69" spans="1:49" x14ac:dyDescent="0.2">
      <c r="A69" s="1">
        <v>44658</v>
      </c>
      <c r="B69">
        <f t="shared" si="8"/>
        <v>4.1500000000000004</v>
      </c>
      <c r="C69" s="1" t="s">
        <v>57</v>
      </c>
      <c r="D69" s="1" t="s">
        <v>61</v>
      </c>
      <c r="E69" s="1" t="s">
        <v>69</v>
      </c>
      <c r="F69" s="1" t="s">
        <v>51</v>
      </c>
      <c r="G69">
        <v>4741</v>
      </c>
      <c r="H69" s="8"/>
      <c r="I69" s="4">
        <v>110</v>
      </c>
      <c r="J69" s="4">
        <v>58</v>
      </c>
      <c r="K69" s="8"/>
      <c r="L69" s="4">
        <v>89</v>
      </c>
      <c r="M69" s="4">
        <v>72</v>
      </c>
      <c r="N69" s="4">
        <v>90</v>
      </c>
      <c r="O69" s="4">
        <v>62</v>
      </c>
      <c r="P69" s="4">
        <v>64.719450050941305</v>
      </c>
      <c r="Q69" s="4">
        <v>68.464499008336901</v>
      </c>
      <c r="R69" s="8"/>
      <c r="S69" s="7" t="s">
        <v>33</v>
      </c>
      <c r="T69" s="4">
        <v>134066</v>
      </c>
      <c r="U69" s="4">
        <v>422173</v>
      </c>
      <c r="V69" s="4">
        <v>2621</v>
      </c>
      <c r="W69" s="4">
        <v>132400</v>
      </c>
      <c r="X69" s="4">
        <v>200523</v>
      </c>
      <c r="Y69" s="4">
        <v>221650</v>
      </c>
      <c r="Z69" s="4">
        <v>130000</v>
      </c>
      <c r="AA69" s="4">
        <v>2400</v>
      </c>
      <c r="AB69" s="4">
        <v>75472</v>
      </c>
      <c r="AC69" s="4">
        <v>395892</v>
      </c>
      <c r="AD69" s="4">
        <v>1276</v>
      </c>
      <c r="AE69" s="4">
        <v>13150</v>
      </c>
      <c r="AF69" s="4">
        <v>485790</v>
      </c>
      <c r="AG69" s="6">
        <v>38666</v>
      </c>
      <c r="AH69" s="6">
        <v>34123</v>
      </c>
      <c r="AI69" s="6">
        <v>4543</v>
      </c>
      <c r="AJ69" s="6">
        <v>-190268</v>
      </c>
      <c r="AK69" s="6">
        <v>-37.799999999999898</v>
      </c>
      <c r="AL69" s="4">
        <v>2266</v>
      </c>
      <c r="AM69" s="4">
        <v>20451</v>
      </c>
      <c r="AN69" s="4">
        <v>357</v>
      </c>
      <c r="AO69" s="6">
        <v>38590</v>
      </c>
      <c r="AP69" s="6">
        <v>11340</v>
      </c>
      <c r="AQ69" s="6">
        <v>11097</v>
      </c>
      <c r="AR69" s="6">
        <v>16153</v>
      </c>
      <c r="AS69" s="6">
        <v>91.9</v>
      </c>
      <c r="AT69" s="6">
        <v>86.1</v>
      </c>
      <c r="AU69" s="6">
        <v>67.7</v>
      </c>
      <c r="AV69" s="4">
        <v>291</v>
      </c>
      <c r="AW69" s="4">
        <v>223</v>
      </c>
    </row>
    <row r="70" spans="1:49" x14ac:dyDescent="0.2">
      <c r="A70" s="1">
        <v>44657</v>
      </c>
      <c r="B70">
        <f t="shared" si="8"/>
        <v>4.1500000000000004</v>
      </c>
      <c r="C70" s="1" t="s">
        <v>57</v>
      </c>
      <c r="D70" s="1" t="s">
        <v>61</v>
      </c>
      <c r="E70" s="1" t="s">
        <v>69</v>
      </c>
      <c r="F70" s="1" t="s">
        <v>51</v>
      </c>
      <c r="G70">
        <v>4715</v>
      </c>
      <c r="H70" s="8"/>
      <c r="I70" s="4">
        <v>110</v>
      </c>
      <c r="J70" s="4">
        <v>58</v>
      </c>
      <c r="K70" s="8"/>
      <c r="L70" s="4">
        <v>75</v>
      </c>
      <c r="M70" s="4">
        <v>68</v>
      </c>
      <c r="N70" s="4">
        <v>85</v>
      </c>
      <c r="O70" s="4">
        <v>61</v>
      </c>
      <c r="P70" s="4">
        <v>62.6296760849443</v>
      </c>
      <c r="Q70" s="4">
        <v>66.946796421066594</v>
      </c>
      <c r="R70" s="8"/>
      <c r="S70" s="7" t="s">
        <v>33</v>
      </c>
      <c r="T70" s="4">
        <v>160910</v>
      </c>
      <c r="U70" s="4">
        <v>422173</v>
      </c>
      <c r="V70" s="4">
        <v>1404</v>
      </c>
      <c r="W70" s="4">
        <v>132400</v>
      </c>
      <c r="X70" s="4">
        <v>200523</v>
      </c>
      <c r="Y70" s="4">
        <v>221650</v>
      </c>
      <c r="Z70" s="4">
        <v>130000</v>
      </c>
      <c r="AA70" s="4">
        <v>2400</v>
      </c>
      <c r="AB70" s="4">
        <v>87329</v>
      </c>
      <c r="AC70" s="4">
        <v>428394</v>
      </c>
      <c r="AD70" s="4">
        <v>1396</v>
      </c>
      <c r="AE70" s="4">
        <v>12913</v>
      </c>
      <c r="AF70" s="4">
        <v>530032</v>
      </c>
      <c r="AG70" s="6">
        <v>44716</v>
      </c>
      <c r="AH70" s="6">
        <v>39502</v>
      </c>
      <c r="AI70" s="6">
        <v>5214</v>
      </c>
      <c r="AJ70" s="6">
        <v>-202251</v>
      </c>
      <c r="AK70" s="6">
        <v>-38</v>
      </c>
      <c r="AL70" s="4">
        <v>2438</v>
      </c>
      <c r="AM70" s="4">
        <v>20544</v>
      </c>
      <c r="AN70" s="4">
        <v>361</v>
      </c>
      <c r="AO70" s="6">
        <v>39169</v>
      </c>
      <c r="AP70" s="6">
        <v>12369</v>
      </c>
      <c r="AQ70" s="6">
        <v>10590</v>
      </c>
      <c r="AR70" s="6">
        <v>16210</v>
      </c>
      <c r="AS70" s="6">
        <v>91.9</v>
      </c>
      <c r="AT70" s="6">
        <v>86.1</v>
      </c>
      <c r="AU70" s="6">
        <v>67.7</v>
      </c>
      <c r="AV70" s="4">
        <v>273</v>
      </c>
      <c r="AW70" s="4">
        <v>191</v>
      </c>
    </row>
    <row r="71" spans="1:49" x14ac:dyDescent="0.2">
      <c r="A71" s="1">
        <v>44656</v>
      </c>
      <c r="B71">
        <f t="shared" si="8"/>
        <v>4.1500000000000004</v>
      </c>
      <c r="C71" s="1" t="s">
        <v>57</v>
      </c>
      <c r="D71" s="1" t="s">
        <v>61</v>
      </c>
      <c r="E71" s="1" t="s">
        <v>69</v>
      </c>
      <c r="F71" s="1" t="s">
        <v>51</v>
      </c>
      <c r="G71">
        <v>4690</v>
      </c>
      <c r="H71" s="8"/>
      <c r="I71" s="4">
        <v>110</v>
      </c>
      <c r="J71" s="4">
        <v>57</v>
      </c>
      <c r="K71" s="8"/>
      <c r="L71" s="4">
        <v>91</v>
      </c>
      <c r="M71" s="4">
        <v>70</v>
      </c>
      <c r="N71" s="4">
        <v>89</v>
      </c>
      <c r="O71" s="4">
        <v>61</v>
      </c>
      <c r="P71" s="4">
        <v>61.489711341746698</v>
      </c>
      <c r="Q71" s="4">
        <v>68.509888064873806</v>
      </c>
      <c r="R71" s="8"/>
      <c r="S71" s="7" t="s">
        <v>33</v>
      </c>
      <c r="T71" s="4">
        <v>167828</v>
      </c>
      <c r="U71" s="4">
        <v>422173</v>
      </c>
      <c r="V71" s="4">
        <v>1179</v>
      </c>
      <c r="W71" s="4">
        <v>132400</v>
      </c>
      <c r="X71" s="4">
        <v>200523</v>
      </c>
      <c r="Y71" s="4">
        <v>221650</v>
      </c>
      <c r="Z71" s="4">
        <v>130000</v>
      </c>
      <c r="AA71" s="4">
        <v>2400</v>
      </c>
      <c r="AB71" s="4">
        <v>94385</v>
      </c>
      <c r="AC71" s="4">
        <v>435447</v>
      </c>
      <c r="AD71" s="4">
        <v>1055</v>
      </c>
      <c r="AE71" s="4">
        <v>9323</v>
      </c>
      <c r="AF71" s="4">
        <v>540210</v>
      </c>
      <c r="AG71" s="6">
        <v>49066</v>
      </c>
      <c r="AH71" s="6">
        <v>43445</v>
      </c>
      <c r="AI71" s="6">
        <v>5621</v>
      </c>
      <c r="AJ71" s="6">
        <v>-193813</v>
      </c>
      <c r="AK71" s="6">
        <v>-35.1</v>
      </c>
      <c r="AL71" s="4">
        <v>2589</v>
      </c>
      <c r="AM71" s="4">
        <v>20522</v>
      </c>
      <c r="AN71" s="4">
        <v>364</v>
      </c>
      <c r="AO71" s="6">
        <v>35680</v>
      </c>
      <c r="AP71" s="6">
        <v>11373</v>
      </c>
      <c r="AQ71" s="6">
        <v>9877</v>
      </c>
      <c r="AR71" s="6">
        <v>14430</v>
      </c>
      <c r="AS71" s="6">
        <v>91.9</v>
      </c>
      <c r="AT71" s="6">
        <v>86.1</v>
      </c>
      <c r="AU71" s="6">
        <v>67.599999999999994</v>
      </c>
      <c r="AV71" s="4">
        <v>269</v>
      </c>
      <c r="AW71" s="4">
        <v>197</v>
      </c>
    </row>
    <row r="72" spans="1:49" x14ac:dyDescent="0.2">
      <c r="A72" s="1">
        <v>44655</v>
      </c>
      <c r="B72">
        <f t="shared" si="8"/>
        <v>4.1500000000000004</v>
      </c>
      <c r="C72" s="1" t="s">
        <v>57</v>
      </c>
      <c r="D72" s="1" t="s">
        <v>61</v>
      </c>
      <c r="E72" s="1" t="s">
        <v>69</v>
      </c>
      <c r="F72" s="1" t="s">
        <v>51</v>
      </c>
      <c r="G72">
        <v>4653</v>
      </c>
      <c r="H72" s="8"/>
      <c r="I72" s="4">
        <v>111</v>
      </c>
      <c r="J72" s="4">
        <v>56</v>
      </c>
      <c r="K72" s="8"/>
      <c r="L72" s="4">
        <v>82</v>
      </c>
      <c r="M72" s="4">
        <v>69</v>
      </c>
      <c r="N72" s="4">
        <v>89</v>
      </c>
      <c r="O72" s="4">
        <v>60</v>
      </c>
      <c r="P72" s="4">
        <v>57.937892735390399</v>
      </c>
      <c r="Q72" s="4">
        <v>65.840691677403001</v>
      </c>
      <c r="R72" s="8"/>
      <c r="S72" s="7" t="s">
        <v>33</v>
      </c>
      <c r="T72" s="4">
        <v>129498</v>
      </c>
      <c r="U72" s="4">
        <v>422173</v>
      </c>
      <c r="V72" s="4">
        <v>1686</v>
      </c>
      <c r="W72" s="4">
        <v>132400</v>
      </c>
      <c r="X72" s="4">
        <v>200523</v>
      </c>
      <c r="Y72" s="4">
        <v>221650</v>
      </c>
      <c r="Z72" s="4">
        <v>130000</v>
      </c>
      <c r="AA72" s="4">
        <v>2400</v>
      </c>
      <c r="AB72" s="4">
        <v>88673</v>
      </c>
      <c r="AC72" s="4">
        <v>477804</v>
      </c>
      <c r="AD72" s="4">
        <v>1033</v>
      </c>
      <c r="AE72" s="4">
        <v>9732</v>
      </c>
      <c r="AF72" s="4">
        <v>577242</v>
      </c>
      <c r="AG72" s="6">
        <v>53758</v>
      </c>
      <c r="AH72" s="6">
        <v>47404</v>
      </c>
      <c r="AI72" s="6">
        <v>6354</v>
      </c>
      <c r="AJ72" s="6">
        <v>-181694</v>
      </c>
      <c r="AK72" s="6">
        <v>-31.8</v>
      </c>
      <c r="AL72" s="4">
        <v>2456</v>
      </c>
      <c r="AM72" s="4">
        <v>20540</v>
      </c>
      <c r="AN72" s="4">
        <v>351</v>
      </c>
      <c r="AO72" s="6">
        <v>36218</v>
      </c>
      <c r="AP72" s="6">
        <v>11137</v>
      </c>
      <c r="AQ72" s="6">
        <v>10355</v>
      </c>
      <c r="AR72" s="6">
        <v>14726</v>
      </c>
      <c r="AS72" s="6">
        <v>91.9</v>
      </c>
      <c r="AT72" s="6">
        <v>86.1</v>
      </c>
      <c r="AU72" s="6">
        <v>67.599999999999994</v>
      </c>
      <c r="AV72" s="4">
        <v>253</v>
      </c>
      <c r="AW72" s="4">
        <v>172</v>
      </c>
    </row>
    <row r="73" spans="1:49" x14ac:dyDescent="0.2">
      <c r="A73" s="1">
        <v>44654</v>
      </c>
      <c r="B73">
        <v>-1.78</v>
      </c>
      <c r="C73" s="1" t="s">
        <v>57</v>
      </c>
      <c r="D73" s="1" t="s">
        <v>61</v>
      </c>
      <c r="E73" s="1" t="s">
        <v>69</v>
      </c>
      <c r="F73" s="1" t="s">
        <v>51</v>
      </c>
      <c r="G73">
        <v>4601</v>
      </c>
      <c r="H73" s="8"/>
      <c r="I73" s="4">
        <v>101</v>
      </c>
      <c r="J73" s="4">
        <v>90</v>
      </c>
      <c r="K73" s="8"/>
      <c r="L73" s="4">
        <v>96</v>
      </c>
      <c r="M73" s="4">
        <v>76</v>
      </c>
      <c r="N73" s="4">
        <v>88</v>
      </c>
      <c r="O73" s="4">
        <v>76</v>
      </c>
      <c r="P73" s="4">
        <v>93.886738763141906</v>
      </c>
      <c r="Q73" s="4">
        <v>88.673741828271503</v>
      </c>
      <c r="R73" s="8"/>
      <c r="S73" s="7" t="s">
        <v>33</v>
      </c>
      <c r="T73" s="4">
        <v>140104</v>
      </c>
      <c r="U73" s="4">
        <v>422173</v>
      </c>
      <c r="V73" s="4">
        <v>233</v>
      </c>
      <c r="W73" s="4">
        <v>132400</v>
      </c>
      <c r="X73" s="4">
        <v>200523</v>
      </c>
      <c r="Y73" s="4">
        <v>221650</v>
      </c>
      <c r="Z73" s="4">
        <v>130000</v>
      </c>
      <c r="AA73" s="4">
        <v>2400</v>
      </c>
      <c r="AB73" s="4">
        <v>65486</v>
      </c>
      <c r="AC73" s="4">
        <v>377186</v>
      </c>
      <c r="AD73" s="4">
        <v>233</v>
      </c>
      <c r="AE73" s="4">
        <v>12783</v>
      </c>
      <c r="AF73" s="4">
        <v>455688</v>
      </c>
      <c r="AG73" s="6">
        <v>42183</v>
      </c>
      <c r="AH73" s="6">
        <v>37596</v>
      </c>
      <c r="AI73" s="6">
        <v>4587</v>
      </c>
      <c r="AJ73" s="6">
        <v>-158970</v>
      </c>
      <c r="AK73" s="6">
        <v>-27</v>
      </c>
      <c r="AL73" s="4">
        <v>2303</v>
      </c>
      <c r="AM73" s="4">
        <v>20085</v>
      </c>
      <c r="AN73" s="4">
        <v>342</v>
      </c>
      <c r="AO73" s="6">
        <v>25751</v>
      </c>
      <c r="AP73" s="6">
        <v>7500</v>
      </c>
      <c r="AQ73" s="6">
        <v>9079</v>
      </c>
      <c r="AR73" s="6">
        <v>9172</v>
      </c>
      <c r="AS73" s="6">
        <v>91.9</v>
      </c>
      <c r="AT73" s="6">
        <v>86</v>
      </c>
      <c r="AU73" s="6">
        <v>67.599999999999994</v>
      </c>
      <c r="AV73" s="4">
        <v>265</v>
      </c>
      <c r="AW73" s="4">
        <v>179</v>
      </c>
    </row>
    <row r="74" spans="1:49" x14ac:dyDescent="0.2">
      <c r="A74" s="1">
        <v>44653</v>
      </c>
      <c r="B74">
        <f>B73</f>
        <v>-1.78</v>
      </c>
      <c r="C74" s="1" t="s">
        <v>57</v>
      </c>
      <c r="D74" s="1" t="s">
        <v>61</v>
      </c>
      <c r="E74" s="1" t="s">
        <v>69</v>
      </c>
      <c r="F74" s="1" t="s">
        <v>51</v>
      </c>
      <c r="G74">
        <v>4600</v>
      </c>
      <c r="H74" s="8"/>
      <c r="I74" s="4">
        <v>102</v>
      </c>
      <c r="J74" s="4">
        <v>88</v>
      </c>
      <c r="K74" s="8"/>
      <c r="L74" s="4">
        <v>71</v>
      </c>
      <c r="M74" s="4">
        <v>70</v>
      </c>
      <c r="N74" s="4">
        <v>90</v>
      </c>
      <c r="O74" s="4">
        <v>71</v>
      </c>
      <c r="P74" s="4">
        <v>76.423630248649701</v>
      </c>
      <c r="Q74" s="4">
        <v>79.767563329812901</v>
      </c>
      <c r="R74" s="8"/>
      <c r="S74" s="7" t="s">
        <v>33</v>
      </c>
      <c r="T74" s="4">
        <v>127638</v>
      </c>
      <c r="U74" s="4">
        <v>422173</v>
      </c>
      <c r="V74" s="4">
        <v>574</v>
      </c>
      <c r="W74" s="4">
        <v>132400</v>
      </c>
      <c r="X74" s="4">
        <v>200523</v>
      </c>
      <c r="Y74" s="4">
        <v>221650</v>
      </c>
      <c r="Z74" s="4">
        <v>130000</v>
      </c>
      <c r="AA74" s="4">
        <v>2400</v>
      </c>
      <c r="AB74" s="4">
        <v>60746</v>
      </c>
      <c r="AC74" s="4">
        <v>363827</v>
      </c>
      <c r="AD74" s="4">
        <v>574</v>
      </c>
      <c r="AE74" s="4">
        <v>13154</v>
      </c>
      <c r="AF74" s="4">
        <v>438301</v>
      </c>
      <c r="AG74" s="6">
        <v>37592</v>
      </c>
      <c r="AH74" s="6">
        <v>33596</v>
      </c>
      <c r="AI74" s="6">
        <v>3996</v>
      </c>
      <c r="AJ74" s="6">
        <v>-145561</v>
      </c>
      <c r="AK74" s="6">
        <v>-24.1999999999999</v>
      </c>
      <c r="AL74" s="4">
        <v>2083</v>
      </c>
      <c r="AM74" s="4">
        <v>19729</v>
      </c>
      <c r="AN74" s="4">
        <v>350</v>
      </c>
      <c r="AO74" s="6">
        <v>44956</v>
      </c>
      <c r="AP74" s="6">
        <v>10890</v>
      </c>
      <c r="AQ74" s="6">
        <v>16918</v>
      </c>
      <c r="AR74" s="6">
        <v>17148</v>
      </c>
      <c r="AS74" s="6">
        <v>91.8</v>
      </c>
      <c r="AT74" s="6">
        <v>86</v>
      </c>
      <c r="AU74" s="6">
        <v>67.599999999999994</v>
      </c>
      <c r="AV74" s="4">
        <v>280</v>
      </c>
      <c r="AW74" s="4">
        <v>183</v>
      </c>
    </row>
    <row r="75" spans="1:49" x14ac:dyDescent="0.2">
      <c r="A75" s="1">
        <v>44652</v>
      </c>
      <c r="B75">
        <f t="shared" ref="B75:B79" si="9">B74</f>
        <v>-1.78</v>
      </c>
      <c r="C75" s="1" t="s">
        <v>57</v>
      </c>
      <c r="D75" s="1" t="s">
        <v>61</v>
      </c>
      <c r="E75" s="1" t="s">
        <v>69</v>
      </c>
      <c r="F75" s="1" t="s">
        <v>51</v>
      </c>
      <c r="G75">
        <v>4588</v>
      </c>
      <c r="H75" s="8"/>
      <c r="I75" s="4">
        <v>109</v>
      </c>
      <c r="J75" s="4">
        <v>65</v>
      </c>
      <c r="K75" s="8"/>
      <c r="L75" s="4">
        <v>75</v>
      </c>
      <c r="M75" s="4">
        <v>69</v>
      </c>
      <c r="N75" s="4">
        <v>92</v>
      </c>
      <c r="O75" s="4">
        <v>62</v>
      </c>
      <c r="P75" s="4">
        <v>61.6126943537108</v>
      </c>
      <c r="Q75" s="4">
        <v>78.635987547401498</v>
      </c>
      <c r="R75" s="8"/>
      <c r="S75" s="7" t="s">
        <v>33</v>
      </c>
      <c r="T75" s="4">
        <v>193607</v>
      </c>
      <c r="U75" s="4">
        <v>422173</v>
      </c>
      <c r="V75" s="4">
        <v>2011</v>
      </c>
      <c r="W75" s="4">
        <v>132400</v>
      </c>
      <c r="X75" s="4">
        <v>200523</v>
      </c>
      <c r="Y75" s="4">
        <v>221650</v>
      </c>
      <c r="Z75" s="4">
        <v>130000</v>
      </c>
      <c r="AA75" s="4">
        <v>2400</v>
      </c>
      <c r="AB75" s="4">
        <v>73486</v>
      </c>
      <c r="AC75" s="4">
        <v>507172</v>
      </c>
      <c r="AD75" s="4">
        <v>1066</v>
      </c>
      <c r="AE75" s="4">
        <v>20449</v>
      </c>
      <c r="AF75" s="4">
        <v>602173</v>
      </c>
      <c r="AG75" s="6">
        <v>47482</v>
      </c>
      <c r="AH75" s="6">
        <v>42278</v>
      </c>
      <c r="AI75" s="6">
        <v>5204</v>
      </c>
      <c r="AJ75" s="6">
        <v>-127659</v>
      </c>
      <c r="AK75" s="6">
        <v>-21.1</v>
      </c>
      <c r="AL75" s="4">
        <v>2144</v>
      </c>
      <c r="AM75" s="4">
        <v>20070</v>
      </c>
      <c r="AN75" s="4">
        <v>352</v>
      </c>
      <c r="AO75" s="6">
        <v>32423</v>
      </c>
      <c r="AP75" s="6">
        <v>4992</v>
      </c>
      <c r="AQ75" s="6">
        <v>11708</v>
      </c>
      <c r="AR75" s="6">
        <v>15723</v>
      </c>
      <c r="AS75" s="6">
        <v>91.8</v>
      </c>
      <c r="AT75" s="6">
        <v>86</v>
      </c>
      <c r="AU75" s="6">
        <v>67.5</v>
      </c>
      <c r="AV75" s="4">
        <v>256</v>
      </c>
      <c r="AW75" s="4">
        <v>202</v>
      </c>
    </row>
    <row r="76" spans="1:49" x14ac:dyDescent="0.2">
      <c r="A76" s="1">
        <v>44651</v>
      </c>
      <c r="B76">
        <f t="shared" si="9"/>
        <v>-1.78</v>
      </c>
      <c r="C76" s="1" t="s">
        <v>57</v>
      </c>
      <c r="D76" s="1" t="s">
        <v>61</v>
      </c>
      <c r="E76" s="1" t="s">
        <v>69</v>
      </c>
      <c r="F76" s="1" t="s">
        <v>51</v>
      </c>
      <c r="G76">
        <v>4569</v>
      </c>
      <c r="H76" s="8"/>
      <c r="I76" s="4">
        <v>108</v>
      </c>
      <c r="J76" s="4">
        <v>66</v>
      </c>
      <c r="K76" s="8"/>
      <c r="L76" s="4">
        <v>76</v>
      </c>
      <c r="M76" s="4">
        <v>71</v>
      </c>
      <c r="N76" s="4">
        <v>91</v>
      </c>
      <c r="O76" s="4">
        <v>63</v>
      </c>
      <c r="P76" s="4">
        <v>65.363449014740794</v>
      </c>
      <c r="Q76" s="4">
        <v>78.093971152116595</v>
      </c>
      <c r="R76" s="8"/>
      <c r="S76" s="7" t="s">
        <v>33</v>
      </c>
      <c r="T76" s="4">
        <v>203750</v>
      </c>
      <c r="U76" s="4">
        <v>849419</v>
      </c>
      <c r="V76" s="4">
        <v>3359</v>
      </c>
      <c r="W76" s="4">
        <v>132400</v>
      </c>
      <c r="X76" s="4">
        <v>200534</v>
      </c>
      <c r="Y76" s="4">
        <v>647000</v>
      </c>
      <c r="Z76" s="4">
        <v>130000</v>
      </c>
      <c r="AA76" s="4">
        <v>4285</v>
      </c>
      <c r="AB76" s="4">
        <v>79518</v>
      </c>
      <c r="AC76" s="4">
        <v>548304</v>
      </c>
      <c r="AD76" s="4">
        <v>1331</v>
      </c>
      <c r="AE76" s="4">
        <v>17335</v>
      </c>
      <c r="AF76" s="4">
        <v>646488</v>
      </c>
      <c r="AG76" s="6">
        <v>54794</v>
      </c>
      <c r="AH76" s="6">
        <v>48596</v>
      </c>
      <c r="AI76" s="6">
        <v>6198</v>
      </c>
      <c r="AJ76" s="6">
        <v>-105557</v>
      </c>
      <c r="AK76" s="6">
        <v>-17.3</v>
      </c>
      <c r="AL76" s="4">
        <v>2428</v>
      </c>
      <c r="AM76" s="4">
        <v>19735</v>
      </c>
      <c r="AN76" s="4">
        <v>356</v>
      </c>
      <c r="AO76" s="6">
        <v>34109</v>
      </c>
      <c r="AP76" s="6">
        <v>5035</v>
      </c>
      <c r="AQ76" s="6">
        <v>12548</v>
      </c>
      <c r="AR76" s="6">
        <v>16526</v>
      </c>
      <c r="AS76" s="6">
        <v>91.8</v>
      </c>
      <c r="AT76" s="6">
        <v>86</v>
      </c>
      <c r="AU76" s="6">
        <v>67.5</v>
      </c>
      <c r="AV76" s="4">
        <v>263</v>
      </c>
      <c r="AW76" s="4">
        <v>182</v>
      </c>
    </row>
    <row r="77" spans="1:49" x14ac:dyDescent="0.2">
      <c r="A77" s="1">
        <v>44650</v>
      </c>
      <c r="B77">
        <f t="shared" si="9"/>
        <v>-1.78</v>
      </c>
      <c r="C77" s="1" t="s">
        <v>57</v>
      </c>
      <c r="D77" s="1" t="s">
        <v>61</v>
      </c>
      <c r="E77" s="1" t="s">
        <v>69</v>
      </c>
      <c r="F77" s="1" t="s">
        <v>51</v>
      </c>
      <c r="G77">
        <v>4460</v>
      </c>
      <c r="H77" s="8"/>
      <c r="I77" s="4">
        <v>109</v>
      </c>
      <c r="J77" s="4">
        <v>65</v>
      </c>
      <c r="K77" s="8"/>
      <c r="L77" s="4">
        <v>86</v>
      </c>
      <c r="M77" s="4">
        <v>70</v>
      </c>
      <c r="N77" s="4">
        <v>91</v>
      </c>
      <c r="O77" s="4">
        <v>63</v>
      </c>
      <c r="P77" s="4">
        <v>63.754970137220397</v>
      </c>
      <c r="Q77" s="4">
        <v>77.691381832731395</v>
      </c>
      <c r="R77" s="8"/>
      <c r="S77" s="7" t="s">
        <v>33</v>
      </c>
      <c r="T77" s="4">
        <v>230178</v>
      </c>
      <c r="U77" s="4">
        <v>850013</v>
      </c>
      <c r="V77" s="4">
        <v>3333</v>
      </c>
      <c r="W77" s="4">
        <v>132400</v>
      </c>
      <c r="X77" s="4">
        <v>200534</v>
      </c>
      <c r="Y77" s="4">
        <v>647000</v>
      </c>
      <c r="Z77" s="4">
        <v>130000</v>
      </c>
      <c r="AA77" s="4">
        <v>4879</v>
      </c>
      <c r="AB77" s="4">
        <v>91756</v>
      </c>
      <c r="AC77" s="4">
        <v>604845</v>
      </c>
      <c r="AD77" s="4">
        <v>1784</v>
      </c>
      <c r="AE77" s="4">
        <v>19944</v>
      </c>
      <c r="AF77" s="4">
        <v>718329</v>
      </c>
      <c r="AG77" s="6">
        <v>73667</v>
      </c>
      <c r="AH77" s="6">
        <v>64995</v>
      </c>
      <c r="AI77" s="6">
        <v>8672</v>
      </c>
      <c r="AJ77" s="6">
        <v>-77401</v>
      </c>
      <c r="AK77" s="6">
        <v>-12.6999999999999</v>
      </c>
      <c r="AL77" s="4">
        <v>2687</v>
      </c>
      <c r="AM77" s="4">
        <v>19687</v>
      </c>
      <c r="AN77" s="4">
        <v>359</v>
      </c>
      <c r="AO77" s="6">
        <v>34820</v>
      </c>
      <c r="AP77" s="6">
        <v>5513</v>
      </c>
      <c r="AQ77" s="6">
        <v>12584</v>
      </c>
      <c r="AR77" s="6">
        <v>16723</v>
      </c>
      <c r="AS77" s="6">
        <v>91.8</v>
      </c>
      <c r="AT77" s="6">
        <v>85.9</v>
      </c>
      <c r="AU77" s="6">
        <v>67.5</v>
      </c>
      <c r="AV77" s="4">
        <v>245</v>
      </c>
      <c r="AW77" s="4">
        <v>178</v>
      </c>
    </row>
    <row r="78" spans="1:49" x14ac:dyDescent="0.2">
      <c r="A78" s="1">
        <v>44649</v>
      </c>
      <c r="B78">
        <f t="shared" si="9"/>
        <v>-1.78</v>
      </c>
      <c r="C78" s="1" t="s">
        <v>57</v>
      </c>
      <c r="D78" s="1" t="s">
        <v>61</v>
      </c>
      <c r="E78" s="1" t="s">
        <v>69</v>
      </c>
      <c r="F78" s="1" t="s">
        <v>50</v>
      </c>
      <c r="G78">
        <v>4361</v>
      </c>
      <c r="H78" s="8"/>
      <c r="I78" s="4">
        <v>109</v>
      </c>
      <c r="J78" s="4">
        <v>64</v>
      </c>
      <c r="K78" s="8"/>
      <c r="L78" s="4">
        <v>85</v>
      </c>
      <c r="M78" s="4">
        <v>71</v>
      </c>
      <c r="N78" s="4">
        <v>90</v>
      </c>
      <c r="O78" s="4">
        <v>64</v>
      </c>
      <c r="P78" s="4">
        <v>64.779804551109095</v>
      </c>
      <c r="Q78" s="4">
        <v>76.490764648703106</v>
      </c>
      <c r="R78" s="8"/>
      <c r="S78" s="7" t="s">
        <v>33</v>
      </c>
      <c r="T78" s="4">
        <v>248577</v>
      </c>
      <c r="U78" s="4">
        <v>850678</v>
      </c>
      <c r="V78" s="4">
        <v>2604</v>
      </c>
      <c r="W78" s="4">
        <v>132400</v>
      </c>
      <c r="X78" s="4">
        <v>200534</v>
      </c>
      <c r="Y78" s="4">
        <v>647000</v>
      </c>
      <c r="Z78" s="4">
        <v>130000</v>
      </c>
      <c r="AA78" s="4">
        <v>5544</v>
      </c>
      <c r="AB78" s="4">
        <v>100906</v>
      </c>
      <c r="AC78" s="4">
        <v>607903</v>
      </c>
      <c r="AD78" s="4">
        <v>1368</v>
      </c>
      <c r="AE78" s="4">
        <v>13091</v>
      </c>
      <c r="AF78" s="4">
        <v>723268</v>
      </c>
      <c r="AG78" s="6">
        <v>80139</v>
      </c>
      <c r="AH78" s="6">
        <v>70625</v>
      </c>
      <c r="AI78" s="6">
        <v>9514</v>
      </c>
      <c r="AJ78" s="6">
        <v>-54488</v>
      </c>
      <c r="AK78" s="6">
        <v>-9</v>
      </c>
      <c r="AL78" s="4">
        <v>2561</v>
      </c>
      <c r="AM78" s="4">
        <v>19548</v>
      </c>
      <c r="AN78" s="4">
        <v>365</v>
      </c>
      <c r="AO78" s="6">
        <v>31416</v>
      </c>
      <c r="AP78" s="6">
        <v>4865</v>
      </c>
      <c r="AQ78" s="6">
        <v>11424</v>
      </c>
      <c r="AR78" s="6">
        <v>15127</v>
      </c>
      <c r="AS78" s="6">
        <v>91.8</v>
      </c>
      <c r="AT78" s="6">
        <v>85.9</v>
      </c>
      <c r="AU78" s="6">
        <v>67.5</v>
      </c>
      <c r="AV78" s="4">
        <v>245</v>
      </c>
      <c r="AW78" s="4">
        <v>187</v>
      </c>
    </row>
    <row r="79" spans="1:49" x14ac:dyDescent="0.2">
      <c r="A79" s="1">
        <v>44648</v>
      </c>
      <c r="B79">
        <f t="shared" si="9"/>
        <v>-1.78</v>
      </c>
      <c r="C79" s="1" t="s">
        <v>57</v>
      </c>
      <c r="D79" s="1" t="s">
        <v>61</v>
      </c>
      <c r="E79" s="1" t="s">
        <v>69</v>
      </c>
      <c r="F79" s="1" t="s">
        <v>50</v>
      </c>
      <c r="G79">
        <v>4247</v>
      </c>
      <c r="H79" s="8"/>
      <c r="I79" s="4">
        <v>109</v>
      </c>
      <c r="J79" s="4">
        <v>63</v>
      </c>
      <c r="K79" s="8"/>
      <c r="L79" s="4">
        <v>109</v>
      </c>
      <c r="M79" s="4">
        <v>73</v>
      </c>
      <c r="N79" s="4">
        <v>93</v>
      </c>
      <c r="O79" s="4">
        <v>63</v>
      </c>
      <c r="P79" s="4">
        <v>59.510946503793399</v>
      </c>
      <c r="Q79" s="4">
        <v>75.875217423542594</v>
      </c>
      <c r="R79" s="8"/>
      <c r="S79" s="7" t="s">
        <v>33</v>
      </c>
      <c r="T79" s="4">
        <v>194074</v>
      </c>
      <c r="U79" s="4">
        <v>850976</v>
      </c>
      <c r="V79" s="4">
        <v>1171</v>
      </c>
      <c r="W79" s="4">
        <v>132400</v>
      </c>
      <c r="X79" s="4">
        <v>200534</v>
      </c>
      <c r="Y79" s="4">
        <v>647000</v>
      </c>
      <c r="Z79" s="4">
        <v>130000</v>
      </c>
      <c r="AA79" s="4">
        <v>5842</v>
      </c>
      <c r="AB79" s="4">
        <v>99326</v>
      </c>
      <c r="AC79" s="4">
        <v>620615</v>
      </c>
      <c r="AD79" s="4">
        <v>752</v>
      </c>
      <c r="AE79" s="4">
        <v>13256</v>
      </c>
      <c r="AF79" s="4">
        <v>733949</v>
      </c>
      <c r="AG79" s="6">
        <v>92902</v>
      </c>
      <c r="AH79" s="6">
        <v>81530</v>
      </c>
      <c r="AI79" s="6">
        <v>11372</v>
      </c>
      <c r="AJ79" s="6">
        <v>-30124</v>
      </c>
      <c r="AK79" s="6">
        <v>-5</v>
      </c>
      <c r="AL79" s="4">
        <v>2558</v>
      </c>
      <c r="AM79" s="4">
        <v>19299</v>
      </c>
      <c r="AN79" s="4">
        <v>363</v>
      </c>
      <c r="AO79" s="6">
        <v>30520</v>
      </c>
      <c r="AP79" s="6">
        <v>4823</v>
      </c>
      <c r="AQ79" s="6">
        <v>10970</v>
      </c>
      <c r="AR79" s="6">
        <v>14727</v>
      </c>
      <c r="AS79" s="6">
        <v>91.8</v>
      </c>
      <c r="AT79" s="6">
        <v>85.9</v>
      </c>
      <c r="AU79" s="6">
        <v>67.400000000000006</v>
      </c>
      <c r="AV79" s="4">
        <v>229</v>
      </c>
      <c r="AW79" s="4">
        <v>174</v>
      </c>
    </row>
    <row r="80" spans="1:49" x14ac:dyDescent="0.2">
      <c r="A80" s="1">
        <v>44647</v>
      </c>
      <c r="B80">
        <v>2.02</v>
      </c>
      <c r="C80" s="1" t="s">
        <v>57</v>
      </c>
      <c r="D80" s="1" t="s">
        <v>61</v>
      </c>
      <c r="E80" s="1" t="s">
        <v>69</v>
      </c>
      <c r="F80" s="1" t="s">
        <v>50</v>
      </c>
      <c r="G80">
        <v>4126</v>
      </c>
      <c r="H80" s="8"/>
      <c r="I80" s="4">
        <v>99</v>
      </c>
      <c r="J80" s="4">
        <v>90</v>
      </c>
      <c r="K80" s="8"/>
      <c r="L80" s="4">
        <v>93</v>
      </c>
      <c r="M80" s="4">
        <v>77</v>
      </c>
      <c r="N80" s="4">
        <v>89</v>
      </c>
      <c r="O80" s="4">
        <v>77</v>
      </c>
      <c r="P80" s="4">
        <v>84.617184133303198</v>
      </c>
      <c r="Q80" s="4">
        <v>89.710364653051897</v>
      </c>
      <c r="R80" s="8"/>
      <c r="S80" s="7" t="s">
        <v>33</v>
      </c>
      <c r="T80" s="4">
        <v>159223</v>
      </c>
      <c r="U80" s="4">
        <v>841005</v>
      </c>
      <c r="V80" s="4">
        <v>327</v>
      </c>
      <c r="W80" s="4">
        <v>132400</v>
      </c>
      <c r="X80" s="4">
        <v>200534</v>
      </c>
      <c r="Y80" s="4">
        <v>640000</v>
      </c>
      <c r="Z80" s="4">
        <v>130000</v>
      </c>
      <c r="AA80" s="4">
        <v>2871</v>
      </c>
      <c r="AB80" s="4">
        <v>59217</v>
      </c>
      <c r="AC80" s="4">
        <v>521493</v>
      </c>
      <c r="AD80" s="4">
        <v>327</v>
      </c>
      <c r="AE80" s="4">
        <v>15407</v>
      </c>
      <c r="AF80" s="4">
        <v>596444</v>
      </c>
      <c r="AG80" s="6">
        <v>68326</v>
      </c>
      <c r="AH80" s="6">
        <v>60591</v>
      </c>
      <c r="AI80" s="6">
        <v>7735</v>
      </c>
      <c r="AJ80" s="6">
        <v>-4247</v>
      </c>
      <c r="AK80" s="6">
        <v>-0.69999999999999896</v>
      </c>
      <c r="AL80" s="4">
        <v>2246</v>
      </c>
      <c r="AM80" s="4">
        <v>18530</v>
      </c>
      <c r="AN80" s="4">
        <v>344</v>
      </c>
      <c r="AO80" s="6">
        <v>23186</v>
      </c>
      <c r="AP80" s="6">
        <v>7627</v>
      </c>
      <c r="AQ80" s="6">
        <v>8042</v>
      </c>
      <c r="AR80" s="6">
        <v>7517</v>
      </c>
      <c r="AS80" s="6">
        <v>91.8</v>
      </c>
      <c r="AT80" s="6">
        <v>85.9</v>
      </c>
      <c r="AU80" s="6">
        <v>67.400000000000006</v>
      </c>
      <c r="AV80" s="4">
        <v>228</v>
      </c>
      <c r="AW80" s="4">
        <v>156</v>
      </c>
    </row>
    <row r="81" spans="1:49" x14ac:dyDescent="0.2">
      <c r="A81" s="1">
        <v>44646</v>
      </c>
      <c r="B81">
        <f>B80</f>
        <v>2.02</v>
      </c>
      <c r="C81" s="1" t="s">
        <v>57</v>
      </c>
      <c r="D81" s="1" t="s">
        <v>61</v>
      </c>
      <c r="E81" s="1" t="s">
        <v>69</v>
      </c>
      <c r="F81" s="1" t="s">
        <v>50</v>
      </c>
      <c r="G81">
        <v>3968</v>
      </c>
      <c r="H81" s="8"/>
      <c r="I81" s="4">
        <v>99</v>
      </c>
      <c r="J81" s="4">
        <v>89</v>
      </c>
      <c r="K81" s="8"/>
      <c r="L81" s="4">
        <v>111</v>
      </c>
      <c r="M81" s="4">
        <v>78</v>
      </c>
      <c r="N81" s="4">
        <v>96</v>
      </c>
      <c r="O81" s="4">
        <v>80</v>
      </c>
      <c r="P81" s="4">
        <v>83.815770424858002</v>
      </c>
      <c r="Q81" s="4">
        <v>89.9949391580205</v>
      </c>
      <c r="R81" s="8"/>
      <c r="S81" s="7" t="s">
        <v>33</v>
      </c>
      <c r="T81" s="4">
        <v>171266</v>
      </c>
      <c r="U81" s="4">
        <v>841501</v>
      </c>
      <c r="V81" s="4">
        <v>985</v>
      </c>
      <c r="W81" s="4">
        <v>132400</v>
      </c>
      <c r="X81" s="4">
        <v>200534</v>
      </c>
      <c r="Y81" s="4">
        <v>640000</v>
      </c>
      <c r="Z81" s="4">
        <v>130000</v>
      </c>
      <c r="AA81" s="4">
        <v>3367</v>
      </c>
      <c r="AB81" s="4">
        <v>65736</v>
      </c>
      <c r="AC81" s="4">
        <v>483449</v>
      </c>
      <c r="AD81" s="4">
        <v>985</v>
      </c>
      <c r="AE81" s="4">
        <v>14853</v>
      </c>
      <c r="AF81" s="4">
        <v>565023</v>
      </c>
      <c r="AG81" s="6">
        <v>61460</v>
      </c>
      <c r="AH81" s="6">
        <v>54968</v>
      </c>
      <c r="AI81" s="6">
        <v>6492</v>
      </c>
      <c r="AJ81" s="6">
        <v>13809</v>
      </c>
      <c r="AK81" s="6">
        <v>2.3999999999999901</v>
      </c>
      <c r="AL81" s="4">
        <v>2137</v>
      </c>
      <c r="AM81" s="4">
        <v>17805</v>
      </c>
      <c r="AN81" s="4">
        <v>345</v>
      </c>
      <c r="AO81" s="6">
        <v>46855</v>
      </c>
      <c r="AP81" s="6">
        <v>10716</v>
      </c>
      <c r="AQ81" s="6">
        <v>18803</v>
      </c>
      <c r="AR81" s="6">
        <v>17336</v>
      </c>
      <c r="AS81" s="6">
        <v>91.8</v>
      </c>
      <c r="AT81" s="6">
        <v>85.9</v>
      </c>
      <c r="AU81" s="6">
        <v>67.400000000000006</v>
      </c>
      <c r="AV81" s="4">
        <v>219</v>
      </c>
      <c r="AW81" s="4">
        <v>160</v>
      </c>
    </row>
    <row r="82" spans="1:49" x14ac:dyDescent="0.2">
      <c r="A82" s="1">
        <v>44645</v>
      </c>
      <c r="B82">
        <f t="shared" ref="B82:B86" si="10">B81</f>
        <v>2.02</v>
      </c>
      <c r="C82" s="1" t="s">
        <v>57</v>
      </c>
      <c r="D82" s="1" t="s">
        <v>61</v>
      </c>
      <c r="E82" s="1" t="s">
        <v>69</v>
      </c>
      <c r="F82" s="1" t="s">
        <v>50</v>
      </c>
      <c r="G82">
        <v>3848</v>
      </c>
      <c r="H82" s="8"/>
      <c r="I82" s="4">
        <v>108</v>
      </c>
      <c r="J82" s="4">
        <v>65</v>
      </c>
      <c r="K82" s="8"/>
      <c r="L82" s="4">
        <v>108</v>
      </c>
      <c r="M82" s="4">
        <v>74</v>
      </c>
      <c r="N82" s="4">
        <v>96</v>
      </c>
      <c r="O82" s="4">
        <v>67</v>
      </c>
      <c r="P82" s="4">
        <v>63.970563859185603</v>
      </c>
      <c r="Q82" s="4">
        <v>82.315975897875305</v>
      </c>
      <c r="R82" s="8"/>
      <c r="S82" s="7" t="s">
        <v>33</v>
      </c>
      <c r="T82" s="4">
        <v>213138</v>
      </c>
      <c r="U82" s="4">
        <v>844868</v>
      </c>
      <c r="V82" s="4">
        <v>3630</v>
      </c>
      <c r="W82" s="4">
        <v>132400</v>
      </c>
      <c r="X82" s="4">
        <v>200534</v>
      </c>
      <c r="Y82" s="4">
        <v>640000</v>
      </c>
      <c r="Z82" s="4">
        <v>130000</v>
      </c>
      <c r="AA82" s="4">
        <v>6734</v>
      </c>
      <c r="AB82" s="4">
        <v>80492</v>
      </c>
      <c r="AC82" s="4">
        <v>608604</v>
      </c>
      <c r="AD82" s="4">
        <v>2242</v>
      </c>
      <c r="AE82" s="4">
        <v>19975</v>
      </c>
      <c r="AF82" s="4">
        <v>711313</v>
      </c>
      <c r="AG82" s="6">
        <v>72443</v>
      </c>
      <c r="AH82" s="6">
        <v>64433</v>
      </c>
      <c r="AI82" s="6">
        <v>8010</v>
      </c>
      <c r="AJ82" s="6">
        <v>25139</v>
      </c>
      <c r="AK82" s="6">
        <v>4.2999999999999901</v>
      </c>
      <c r="AL82" s="4">
        <v>2245</v>
      </c>
      <c r="AM82" s="4">
        <v>17866</v>
      </c>
      <c r="AN82" s="4">
        <v>333</v>
      </c>
      <c r="AO82" s="6">
        <v>37132</v>
      </c>
      <c r="AP82" s="6">
        <v>5686</v>
      </c>
      <c r="AQ82" s="6">
        <v>13326</v>
      </c>
      <c r="AR82" s="6">
        <v>18120</v>
      </c>
      <c r="AS82" s="6">
        <v>91.8</v>
      </c>
      <c r="AT82" s="6">
        <v>85.8</v>
      </c>
      <c r="AU82" s="6">
        <v>67.400000000000006</v>
      </c>
      <c r="AV82" s="4">
        <v>227</v>
      </c>
      <c r="AW82" s="4">
        <v>175</v>
      </c>
    </row>
    <row r="83" spans="1:49" x14ac:dyDescent="0.2">
      <c r="A83" s="1">
        <v>44644</v>
      </c>
      <c r="B83">
        <f t="shared" si="10"/>
        <v>2.02</v>
      </c>
      <c r="C83" s="1" t="s">
        <v>57</v>
      </c>
      <c r="D83" s="1" t="s">
        <v>61</v>
      </c>
      <c r="E83" s="1" t="s">
        <v>69</v>
      </c>
      <c r="F83" s="1" t="s">
        <v>50</v>
      </c>
      <c r="G83">
        <v>3780</v>
      </c>
      <c r="H83" s="8"/>
      <c r="I83" s="4">
        <v>108</v>
      </c>
      <c r="J83" s="4">
        <v>66</v>
      </c>
      <c r="K83" s="8"/>
      <c r="L83" s="4">
        <v>118</v>
      </c>
      <c r="M83" s="4">
        <v>76</v>
      </c>
      <c r="N83" s="4">
        <v>95</v>
      </c>
      <c r="O83" s="4">
        <v>65</v>
      </c>
      <c r="P83" s="4">
        <v>67.283822250328896</v>
      </c>
      <c r="Q83" s="4">
        <v>80.484779082754301</v>
      </c>
      <c r="R83" s="8"/>
      <c r="S83" s="7" t="s">
        <v>33</v>
      </c>
      <c r="T83" s="4">
        <v>226954</v>
      </c>
      <c r="U83" s="4">
        <v>846107</v>
      </c>
      <c r="V83" s="4">
        <v>3982</v>
      </c>
      <c r="W83" s="4">
        <v>132400</v>
      </c>
      <c r="X83" s="4">
        <v>200545</v>
      </c>
      <c r="Y83" s="4">
        <v>640000</v>
      </c>
      <c r="Z83" s="4">
        <v>130000</v>
      </c>
      <c r="AA83" s="4">
        <v>7962</v>
      </c>
      <c r="AB83" s="4">
        <v>83645</v>
      </c>
      <c r="AC83" s="4">
        <v>637217</v>
      </c>
      <c r="AD83" s="4">
        <v>2744</v>
      </c>
      <c r="AE83" s="4">
        <v>17876</v>
      </c>
      <c r="AF83" s="4">
        <v>741482</v>
      </c>
      <c r="AG83" s="6">
        <v>82905</v>
      </c>
      <c r="AH83" s="6">
        <v>73627</v>
      </c>
      <c r="AI83" s="6">
        <v>9278</v>
      </c>
      <c r="AJ83" s="6">
        <v>36262</v>
      </c>
      <c r="AK83" s="6">
        <v>6.2999999999999901</v>
      </c>
      <c r="AL83" s="4">
        <v>2356</v>
      </c>
      <c r="AM83" s="4">
        <v>17614</v>
      </c>
      <c r="AN83" s="4">
        <v>330</v>
      </c>
      <c r="AO83" s="6">
        <v>33618</v>
      </c>
      <c r="AP83" s="6">
        <v>5094</v>
      </c>
      <c r="AQ83" s="6">
        <v>11725</v>
      </c>
      <c r="AR83" s="6">
        <v>16799</v>
      </c>
      <c r="AS83" s="6">
        <v>91.7</v>
      </c>
      <c r="AT83" s="6">
        <v>85.8</v>
      </c>
      <c r="AU83" s="6">
        <v>67.3</v>
      </c>
      <c r="AV83" s="4">
        <v>215</v>
      </c>
      <c r="AW83" s="4">
        <v>158</v>
      </c>
    </row>
    <row r="84" spans="1:49" x14ac:dyDescent="0.2">
      <c r="A84" s="1">
        <v>44643</v>
      </c>
      <c r="B84">
        <f t="shared" si="10"/>
        <v>2.02</v>
      </c>
      <c r="C84" s="1" t="s">
        <v>57</v>
      </c>
      <c r="D84" s="1" t="s">
        <v>61</v>
      </c>
      <c r="E84" s="1" t="s">
        <v>69</v>
      </c>
      <c r="F84" s="1" t="s">
        <v>50</v>
      </c>
      <c r="G84">
        <v>3777</v>
      </c>
      <c r="H84" s="8"/>
      <c r="I84" s="4">
        <v>108</v>
      </c>
      <c r="J84" s="4">
        <v>66</v>
      </c>
      <c r="K84" s="8"/>
      <c r="L84" s="4">
        <v>118</v>
      </c>
      <c r="M84" s="4">
        <v>74</v>
      </c>
      <c r="N84" s="4">
        <v>93</v>
      </c>
      <c r="O84" s="4">
        <v>65</v>
      </c>
      <c r="P84" s="4">
        <v>65.678256782860799</v>
      </c>
      <c r="Q84" s="4">
        <v>79.902022466569704</v>
      </c>
      <c r="R84" s="8"/>
      <c r="S84" s="7" t="s">
        <v>33</v>
      </c>
      <c r="T84" s="4">
        <v>271312</v>
      </c>
      <c r="U84" s="4">
        <v>853966</v>
      </c>
      <c r="V84" s="4">
        <v>3820</v>
      </c>
      <c r="W84" s="4">
        <v>132400</v>
      </c>
      <c r="X84" s="4">
        <v>200545</v>
      </c>
      <c r="Y84" s="4">
        <v>640000</v>
      </c>
      <c r="Z84" s="4">
        <v>130000</v>
      </c>
      <c r="AA84" s="4">
        <v>15821</v>
      </c>
      <c r="AB84" s="4">
        <v>94811</v>
      </c>
      <c r="AC84" s="4">
        <v>690512</v>
      </c>
      <c r="AD84" s="4">
        <v>2941</v>
      </c>
      <c r="AE84" s="4">
        <v>30105</v>
      </c>
      <c r="AF84" s="4">
        <v>818369</v>
      </c>
      <c r="AG84" s="6">
        <v>94180</v>
      </c>
      <c r="AH84" s="6">
        <v>83443</v>
      </c>
      <c r="AI84" s="6">
        <v>10737</v>
      </c>
      <c r="AJ84" s="6">
        <v>48570</v>
      </c>
      <c r="AK84" s="6">
        <v>8.6999999999999904</v>
      </c>
      <c r="AL84" s="4">
        <v>2500</v>
      </c>
      <c r="AM84" s="4">
        <v>17140</v>
      </c>
      <c r="AN84" s="4">
        <v>302</v>
      </c>
      <c r="AO84" s="6">
        <v>20030</v>
      </c>
      <c r="AP84" s="6">
        <v>0</v>
      </c>
      <c r="AQ84" s="6">
        <v>4283</v>
      </c>
      <c r="AR84" s="6">
        <v>18010</v>
      </c>
      <c r="AS84" s="6">
        <v>91.7</v>
      </c>
      <c r="AT84" s="6">
        <v>85.8</v>
      </c>
      <c r="AU84" s="6">
        <v>67.3</v>
      </c>
      <c r="AV84" s="4">
        <v>207</v>
      </c>
      <c r="AW84" s="4">
        <v>155</v>
      </c>
    </row>
    <row r="85" spans="1:49" x14ac:dyDescent="0.2">
      <c r="A85" s="1">
        <v>44642</v>
      </c>
      <c r="B85">
        <f t="shared" si="10"/>
        <v>2.02</v>
      </c>
      <c r="C85" s="1" t="s">
        <v>57</v>
      </c>
      <c r="D85" s="1" t="s">
        <v>61</v>
      </c>
      <c r="E85" s="1" t="s">
        <v>69</v>
      </c>
      <c r="F85" s="1" t="s">
        <v>50</v>
      </c>
      <c r="G85">
        <v>3778</v>
      </c>
      <c r="H85" s="8"/>
      <c r="I85" s="4">
        <v>108</v>
      </c>
      <c r="J85" s="4">
        <v>65</v>
      </c>
      <c r="K85" s="8"/>
      <c r="L85" s="4">
        <v>115</v>
      </c>
      <c r="M85" s="4">
        <v>73</v>
      </c>
      <c r="N85" s="4">
        <v>92</v>
      </c>
      <c r="O85" s="4">
        <v>64</v>
      </c>
      <c r="P85" s="4">
        <v>64.640299427571506</v>
      </c>
      <c r="Q85" s="4">
        <v>79.903461828860998</v>
      </c>
      <c r="R85" s="8"/>
      <c r="S85" s="7" t="s">
        <v>33</v>
      </c>
      <c r="T85" s="4">
        <v>268138</v>
      </c>
      <c r="U85" s="4">
        <v>846526</v>
      </c>
      <c r="V85" s="4">
        <v>5077</v>
      </c>
      <c r="W85" s="4">
        <v>132400</v>
      </c>
      <c r="X85" s="4">
        <v>200545</v>
      </c>
      <c r="Y85" s="4">
        <v>640000</v>
      </c>
      <c r="Z85" s="4">
        <v>130000</v>
      </c>
      <c r="AA85" s="4">
        <v>8381</v>
      </c>
      <c r="AB85" s="4">
        <v>95708</v>
      </c>
      <c r="AC85" s="4">
        <v>686792</v>
      </c>
      <c r="AD85" s="4">
        <v>3703</v>
      </c>
      <c r="AE85" s="4">
        <v>17029</v>
      </c>
      <c r="AF85" s="4">
        <v>803232</v>
      </c>
      <c r="AG85" s="6">
        <v>99093</v>
      </c>
      <c r="AH85" s="6">
        <v>87745</v>
      </c>
      <c r="AI85" s="6">
        <v>11348</v>
      </c>
      <c r="AJ85" s="6">
        <v>64429</v>
      </c>
      <c r="AK85" s="6">
        <v>11.9</v>
      </c>
      <c r="AL85" s="4">
        <v>2432</v>
      </c>
      <c r="AM85" s="4">
        <v>16903</v>
      </c>
      <c r="AN85" s="4">
        <v>316</v>
      </c>
      <c r="AO85" s="6">
        <v>34582</v>
      </c>
      <c r="AP85" s="6">
        <v>4631</v>
      </c>
      <c r="AQ85" s="6">
        <v>11840</v>
      </c>
      <c r="AR85" s="6">
        <v>18111</v>
      </c>
      <c r="AS85" s="6">
        <v>91.7</v>
      </c>
      <c r="AT85" s="6">
        <v>85.8</v>
      </c>
      <c r="AU85" s="6">
        <v>67.3</v>
      </c>
      <c r="AV85" s="4">
        <v>227</v>
      </c>
      <c r="AW85" s="4">
        <v>161</v>
      </c>
    </row>
    <row r="86" spans="1:49" x14ac:dyDescent="0.2">
      <c r="A86" s="1">
        <v>44641</v>
      </c>
      <c r="B86">
        <f t="shared" si="10"/>
        <v>2.02</v>
      </c>
      <c r="C86" s="1" t="s">
        <v>57</v>
      </c>
      <c r="D86" s="1" t="s">
        <v>61</v>
      </c>
      <c r="E86" s="1" t="s">
        <v>69</v>
      </c>
      <c r="F86" s="1" t="s">
        <v>50</v>
      </c>
      <c r="G86">
        <v>3783</v>
      </c>
      <c r="H86" s="8"/>
      <c r="I86" s="4">
        <v>109</v>
      </c>
      <c r="J86" s="4">
        <v>64</v>
      </c>
      <c r="K86" s="8"/>
      <c r="L86" s="4">
        <v>114</v>
      </c>
      <c r="M86" s="4">
        <v>73</v>
      </c>
      <c r="N86" s="4">
        <v>94</v>
      </c>
      <c r="O86" s="4">
        <v>62</v>
      </c>
      <c r="P86" s="4">
        <v>59.890475689285097</v>
      </c>
      <c r="Q86" s="4">
        <v>78.486827614658296</v>
      </c>
      <c r="R86" s="8"/>
      <c r="S86" s="7" t="s">
        <v>33</v>
      </c>
      <c r="T86" s="4">
        <v>197720</v>
      </c>
      <c r="U86" s="4">
        <v>844576</v>
      </c>
      <c r="V86" s="4">
        <v>1337</v>
      </c>
      <c r="W86" s="4">
        <v>132400</v>
      </c>
      <c r="X86" s="4">
        <v>200545</v>
      </c>
      <c r="Y86" s="4">
        <v>640000</v>
      </c>
      <c r="Z86" s="4">
        <v>130000</v>
      </c>
      <c r="AA86" s="4">
        <v>6431</v>
      </c>
      <c r="AB86" s="4">
        <v>95656</v>
      </c>
      <c r="AC86" s="4">
        <v>697452</v>
      </c>
      <c r="AD86" s="4">
        <v>1337</v>
      </c>
      <c r="AE86" s="4">
        <v>13730</v>
      </c>
      <c r="AF86" s="4">
        <v>808175</v>
      </c>
      <c r="AG86" s="6">
        <v>109322</v>
      </c>
      <c r="AH86" s="6">
        <v>96429</v>
      </c>
      <c r="AI86" s="6">
        <v>12893</v>
      </c>
      <c r="AJ86" s="6">
        <v>82579</v>
      </c>
      <c r="AK86" s="6">
        <v>15.9</v>
      </c>
      <c r="AL86" s="4">
        <v>2279</v>
      </c>
      <c r="AM86" s="4">
        <v>16484</v>
      </c>
      <c r="AN86" s="4">
        <v>299</v>
      </c>
      <c r="AO86" s="6">
        <v>33980</v>
      </c>
      <c r="AP86" s="6">
        <v>4505</v>
      </c>
      <c r="AQ86" s="6">
        <v>12060</v>
      </c>
      <c r="AR86" s="6">
        <v>17415</v>
      </c>
      <c r="AS86" s="6">
        <v>91.7</v>
      </c>
      <c r="AT86" s="6">
        <v>85.8</v>
      </c>
      <c r="AU86" s="6">
        <v>67.2</v>
      </c>
      <c r="AV86" s="4">
        <v>185</v>
      </c>
      <c r="AW86" s="4">
        <v>155</v>
      </c>
    </row>
    <row r="87" spans="1:49" x14ac:dyDescent="0.2">
      <c r="A87" s="1">
        <v>44640</v>
      </c>
      <c r="B87">
        <v>-2.34</v>
      </c>
      <c r="C87" s="1" t="s">
        <v>57</v>
      </c>
      <c r="D87" s="1" t="s">
        <v>61</v>
      </c>
      <c r="E87" s="1" t="s">
        <v>69</v>
      </c>
      <c r="F87" s="1" t="s">
        <v>50</v>
      </c>
      <c r="G87">
        <v>3775</v>
      </c>
      <c r="H87" s="8"/>
      <c r="I87" s="4">
        <v>100</v>
      </c>
      <c r="J87" s="4">
        <v>90</v>
      </c>
      <c r="K87" s="8"/>
      <c r="L87" s="4">
        <v>105</v>
      </c>
      <c r="M87" s="4">
        <v>77</v>
      </c>
      <c r="N87" s="4">
        <v>89</v>
      </c>
      <c r="O87" s="4">
        <v>77</v>
      </c>
      <c r="P87" s="4">
        <v>88.466780215195001</v>
      </c>
      <c r="Q87" s="4">
        <v>91.680079153193901</v>
      </c>
      <c r="R87" s="8"/>
      <c r="S87" s="7" t="s">
        <v>33</v>
      </c>
      <c r="T87" s="4">
        <v>157616</v>
      </c>
      <c r="U87" s="4">
        <v>848532</v>
      </c>
      <c r="V87" s="4">
        <v>427</v>
      </c>
      <c r="W87" s="4">
        <v>132400</v>
      </c>
      <c r="X87" s="4">
        <v>200545</v>
      </c>
      <c r="Y87" s="4">
        <v>640000</v>
      </c>
      <c r="Z87" s="4">
        <v>130000</v>
      </c>
      <c r="AA87" s="4">
        <v>10387</v>
      </c>
      <c r="AB87" s="4">
        <v>65614</v>
      </c>
      <c r="AC87" s="4">
        <v>521457</v>
      </c>
      <c r="AD87" s="4">
        <v>427</v>
      </c>
      <c r="AE87" s="4">
        <v>22065</v>
      </c>
      <c r="AF87" s="4">
        <v>609563</v>
      </c>
      <c r="AG87" s="6">
        <v>81060</v>
      </c>
      <c r="AH87" s="6">
        <v>72193</v>
      </c>
      <c r="AI87" s="6">
        <v>8867</v>
      </c>
      <c r="AJ87" s="6">
        <v>104446</v>
      </c>
      <c r="AK87" s="6">
        <v>21.399999999999899</v>
      </c>
      <c r="AL87" s="4">
        <v>2036</v>
      </c>
      <c r="AM87" s="4">
        <v>15689</v>
      </c>
      <c r="AN87" s="4">
        <v>280</v>
      </c>
      <c r="AO87" s="6">
        <v>27587</v>
      </c>
      <c r="AP87" s="6">
        <v>7006</v>
      </c>
      <c r="AQ87" s="6">
        <v>9708</v>
      </c>
      <c r="AR87" s="6">
        <v>10873</v>
      </c>
      <c r="AS87" s="6">
        <v>91.7</v>
      </c>
      <c r="AT87" s="6">
        <v>85.7</v>
      </c>
      <c r="AU87" s="6">
        <v>67.2</v>
      </c>
      <c r="AV87" s="4">
        <v>204</v>
      </c>
      <c r="AW87" s="4">
        <v>167</v>
      </c>
    </row>
    <row r="88" spans="1:49" x14ac:dyDescent="0.2">
      <c r="A88" s="1">
        <v>44639</v>
      </c>
      <c r="B88">
        <f>B87</f>
        <v>-2.34</v>
      </c>
      <c r="C88" s="1" t="s">
        <v>57</v>
      </c>
      <c r="D88" s="1" t="s">
        <v>61</v>
      </c>
      <c r="E88" s="1" t="s">
        <v>69</v>
      </c>
      <c r="F88" s="1" t="s">
        <v>50</v>
      </c>
      <c r="G88">
        <v>3781</v>
      </c>
      <c r="H88" s="8"/>
      <c r="I88" s="4">
        <v>101</v>
      </c>
      <c r="J88" s="4">
        <v>89</v>
      </c>
      <c r="K88" s="8"/>
      <c r="L88" s="4">
        <v>95</v>
      </c>
      <c r="M88" s="4">
        <v>74</v>
      </c>
      <c r="N88" s="4">
        <v>91</v>
      </c>
      <c r="O88" s="4">
        <v>75</v>
      </c>
      <c r="P88" s="4">
        <v>82.609969099751595</v>
      </c>
      <c r="Q88" s="4">
        <v>86.452488615775593</v>
      </c>
      <c r="R88" s="8"/>
      <c r="S88" s="7" t="s">
        <v>33</v>
      </c>
      <c r="T88" s="4">
        <v>186919</v>
      </c>
      <c r="U88" s="4">
        <v>841893</v>
      </c>
      <c r="V88" s="4">
        <v>2015</v>
      </c>
      <c r="W88" s="4">
        <v>132400</v>
      </c>
      <c r="X88" s="4">
        <v>200545</v>
      </c>
      <c r="Y88" s="4">
        <v>640000</v>
      </c>
      <c r="Z88" s="4">
        <v>130000</v>
      </c>
      <c r="AA88" s="4">
        <v>3748</v>
      </c>
      <c r="AB88" s="4">
        <v>65462</v>
      </c>
      <c r="AC88" s="4">
        <v>519015</v>
      </c>
      <c r="AD88" s="4">
        <v>2015</v>
      </c>
      <c r="AE88" s="4">
        <v>14512</v>
      </c>
      <c r="AF88" s="4">
        <v>601004</v>
      </c>
      <c r="AG88" s="6">
        <v>67426</v>
      </c>
      <c r="AH88" s="6">
        <v>60608</v>
      </c>
      <c r="AI88" s="6">
        <v>6818</v>
      </c>
      <c r="AJ88" s="6">
        <v>125841</v>
      </c>
      <c r="AK88" s="6">
        <v>27.3</v>
      </c>
      <c r="AL88" s="4">
        <v>2061</v>
      </c>
      <c r="AM88" s="4">
        <v>15232</v>
      </c>
      <c r="AN88" s="4">
        <v>277</v>
      </c>
      <c r="AO88" s="6">
        <v>49834</v>
      </c>
      <c r="AP88" s="6">
        <v>10237</v>
      </c>
      <c r="AQ88" s="6">
        <v>19104</v>
      </c>
      <c r="AR88" s="6">
        <v>20493</v>
      </c>
      <c r="AS88" s="6">
        <v>91.7</v>
      </c>
      <c r="AT88" s="6">
        <v>85.7</v>
      </c>
      <c r="AU88" s="6">
        <v>67.2</v>
      </c>
      <c r="AV88" s="4">
        <v>197</v>
      </c>
      <c r="AW88" s="4">
        <v>163</v>
      </c>
    </row>
    <row r="89" spans="1:49" x14ac:dyDescent="0.2">
      <c r="A89" s="1">
        <v>44638</v>
      </c>
      <c r="B89">
        <f t="shared" ref="B89:B93" si="11">B88</f>
        <v>-2.34</v>
      </c>
      <c r="C89" s="1" t="s">
        <v>57</v>
      </c>
      <c r="D89" s="1" t="s">
        <v>61</v>
      </c>
      <c r="E89" s="1" t="s">
        <v>69</v>
      </c>
      <c r="F89" s="1" t="s">
        <v>50</v>
      </c>
      <c r="G89">
        <v>3778</v>
      </c>
      <c r="H89" s="8"/>
      <c r="I89" s="4">
        <v>109</v>
      </c>
      <c r="J89" s="4">
        <v>65</v>
      </c>
      <c r="K89" s="8"/>
      <c r="L89" s="4">
        <v>102</v>
      </c>
      <c r="M89" s="4">
        <v>71</v>
      </c>
      <c r="N89" s="4">
        <v>94</v>
      </c>
      <c r="O89" s="4">
        <v>65</v>
      </c>
      <c r="P89" s="4">
        <v>62.982229293211702</v>
      </c>
      <c r="Q89" s="4">
        <v>80.451875102501305</v>
      </c>
      <c r="R89" s="8"/>
      <c r="S89" s="7" t="s">
        <v>33</v>
      </c>
      <c r="T89" s="4">
        <v>221709</v>
      </c>
      <c r="U89" s="4">
        <v>845719</v>
      </c>
      <c r="V89" s="4">
        <v>3961</v>
      </c>
      <c r="W89" s="4">
        <v>132400</v>
      </c>
      <c r="X89" s="4">
        <v>200545</v>
      </c>
      <c r="Y89" s="4">
        <v>640000</v>
      </c>
      <c r="Z89" s="4">
        <v>130000</v>
      </c>
      <c r="AA89" s="4">
        <v>7574</v>
      </c>
      <c r="AB89" s="4">
        <v>83429</v>
      </c>
      <c r="AC89" s="4">
        <v>632820</v>
      </c>
      <c r="AD89" s="4">
        <v>3857</v>
      </c>
      <c r="AE89" s="4">
        <v>17068</v>
      </c>
      <c r="AF89" s="4">
        <v>737174</v>
      </c>
      <c r="AG89" s="6">
        <v>75302</v>
      </c>
      <c r="AH89" s="6">
        <v>67411</v>
      </c>
      <c r="AI89" s="6">
        <v>7891</v>
      </c>
      <c r="AJ89" s="6">
        <v>143787</v>
      </c>
      <c r="AK89" s="6">
        <v>32.899999999999899</v>
      </c>
      <c r="AL89" s="4">
        <v>1963</v>
      </c>
      <c r="AM89" s="4">
        <v>15159</v>
      </c>
      <c r="AN89" s="4">
        <v>287</v>
      </c>
      <c r="AO89" s="6">
        <v>39136</v>
      </c>
      <c r="AP89" s="6">
        <v>4343</v>
      </c>
      <c r="AQ89" s="6">
        <v>14641</v>
      </c>
      <c r="AR89" s="6">
        <v>20152</v>
      </c>
      <c r="AS89" s="6">
        <v>91.7</v>
      </c>
      <c r="AT89" s="6">
        <v>85.7</v>
      </c>
      <c r="AU89" s="6">
        <v>67.2</v>
      </c>
      <c r="AV89" s="4">
        <v>208</v>
      </c>
      <c r="AW89" s="4">
        <v>168</v>
      </c>
    </row>
    <row r="90" spans="1:49" x14ac:dyDescent="0.2">
      <c r="A90" s="1">
        <v>44637</v>
      </c>
      <c r="B90">
        <f t="shared" si="11"/>
        <v>-2.34</v>
      </c>
      <c r="C90" s="1" t="s">
        <v>57</v>
      </c>
      <c r="D90" s="1" t="s">
        <v>61</v>
      </c>
      <c r="E90" s="1" t="s">
        <v>69</v>
      </c>
      <c r="F90" s="1" t="s">
        <v>50</v>
      </c>
      <c r="G90">
        <v>3779</v>
      </c>
      <c r="H90" s="8"/>
      <c r="I90" s="4">
        <v>108</v>
      </c>
      <c r="J90" s="4">
        <v>66</v>
      </c>
      <c r="K90" s="8"/>
      <c r="L90" s="4">
        <v>112</v>
      </c>
      <c r="M90" s="4">
        <v>76</v>
      </c>
      <c r="N90" s="4">
        <v>95</v>
      </c>
      <c r="O90" s="4">
        <v>66</v>
      </c>
      <c r="P90" s="4">
        <v>67.735449710465005</v>
      </c>
      <c r="Q90" s="4">
        <v>81.486239996589802</v>
      </c>
      <c r="R90" s="8"/>
      <c r="S90" s="7" t="s">
        <v>33</v>
      </c>
      <c r="T90" s="4">
        <v>234933</v>
      </c>
      <c r="U90" s="4">
        <v>850050</v>
      </c>
      <c r="V90" s="4">
        <v>6600</v>
      </c>
      <c r="W90" s="4">
        <v>132400</v>
      </c>
      <c r="X90" s="4">
        <v>200520</v>
      </c>
      <c r="Y90" s="4">
        <v>640000</v>
      </c>
      <c r="Z90" s="4">
        <v>130000</v>
      </c>
      <c r="AA90" s="4">
        <v>11930</v>
      </c>
      <c r="AB90" s="4">
        <v>82616</v>
      </c>
      <c r="AC90" s="4">
        <v>653500</v>
      </c>
      <c r="AD90" s="4">
        <v>5155</v>
      </c>
      <c r="AE90" s="4">
        <v>24407</v>
      </c>
      <c r="AF90" s="4">
        <v>765678</v>
      </c>
      <c r="AG90" s="6">
        <v>82860</v>
      </c>
      <c r="AH90" s="6">
        <v>73931</v>
      </c>
      <c r="AI90" s="6">
        <v>8929</v>
      </c>
      <c r="AJ90" s="6">
        <v>161165</v>
      </c>
      <c r="AK90" s="6">
        <v>39.1</v>
      </c>
      <c r="AL90" s="4">
        <v>2085</v>
      </c>
      <c r="AM90" s="4">
        <v>14923</v>
      </c>
      <c r="AN90" s="4">
        <v>292</v>
      </c>
      <c r="AO90" s="6">
        <v>38747</v>
      </c>
      <c r="AP90" s="6">
        <v>4201</v>
      </c>
      <c r="AQ90" s="6">
        <v>14729</v>
      </c>
      <c r="AR90" s="6">
        <v>19817</v>
      </c>
      <c r="AS90" s="6">
        <v>91.7</v>
      </c>
      <c r="AT90" s="6">
        <v>85.7</v>
      </c>
      <c r="AU90" s="6">
        <v>67.099999999999994</v>
      </c>
      <c r="AV90" s="4">
        <v>191</v>
      </c>
      <c r="AW90" s="4">
        <v>137</v>
      </c>
    </row>
    <row r="91" spans="1:49" x14ac:dyDescent="0.2">
      <c r="A91" s="1">
        <v>44636</v>
      </c>
      <c r="B91">
        <f t="shared" si="11"/>
        <v>-2.34</v>
      </c>
      <c r="C91" s="1" t="s">
        <v>57</v>
      </c>
      <c r="D91" s="1" t="s">
        <v>61</v>
      </c>
      <c r="E91" s="1" t="s">
        <v>69</v>
      </c>
      <c r="F91" s="1" t="s">
        <v>50</v>
      </c>
      <c r="G91">
        <v>3765</v>
      </c>
      <c r="H91" s="8"/>
      <c r="I91" s="4">
        <v>110</v>
      </c>
      <c r="J91" s="4">
        <v>65</v>
      </c>
      <c r="K91" s="8"/>
      <c r="L91" s="4">
        <v>71</v>
      </c>
      <c r="M91" s="4">
        <v>66</v>
      </c>
      <c r="N91" s="4">
        <v>85</v>
      </c>
      <c r="O91" s="4">
        <v>64</v>
      </c>
      <c r="P91" s="4">
        <v>65.366114498022895</v>
      </c>
      <c r="Q91" s="4">
        <v>77.815369795327697</v>
      </c>
      <c r="R91" s="8"/>
      <c r="S91" s="7" t="s">
        <v>33</v>
      </c>
      <c r="T91" s="4">
        <v>266977</v>
      </c>
      <c r="U91" s="4">
        <v>857527</v>
      </c>
      <c r="V91" s="4">
        <v>6395</v>
      </c>
      <c r="W91" s="4">
        <v>132400</v>
      </c>
      <c r="X91" s="4">
        <v>200520</v>
      </c>
      <c r="Y91" s="4">
        <v>640000</v>
      </c>
      <c r="Z91" s="4">
        <v>130000</v>
      </c>
      <c r="AA91" s="4">
        <v>19407</v>
      </c>
      <c r="AB91" s="4">
        <v>92406</v>
      </c>
      <c r="AC91" s="4">
        <v>707966</v>
      </c>
      <c r="AD91" s="4">
        <v>5036</v>
      </c>
      <c r="AE91" s="4">
        <v>33111</v>
      </c>
      <c r="AF91" s="4">
        <v>838519</v>
      </c>
      <c r="AG91" s="6">
        <v>91780</v>
      </c>
      <c r="AH91" s="6">
        <v>81895</v>
      </c>
      <c r="AI91" s="6">
        <v>9885</v>
      </c>
      <c r="AJ91" s="6">
        <v>175569</v>
      </c>
      <c r="AK91" s="6">
        <v>45.6</v>
      </c>
      <c r="AL91" s="4">
        <v>2132</v>
      </c>
      <c r="AM91" s="4">
        <v>14475</v>
      </c>
      <c r="AN91" s="4">
        <v>281</v>
      </c>
      <c r="AO91" s="6">
        <v>36867</v>
      </c>
      <c r="AP91" s="6">
        <v>4009</v>
      </c>
      <c r="AQ91" s="6">
        <v>14046</v>
      </c>
      <c r="AR91" s="6">
        <v>18812</v>
      </c>
      <c r="AS91" s="6">
        <v>91.7</v>
      </c>
      <c r="AT91" s="6">
        <v>85.6</v>
      </c>
      <c r="AU91" s="6">
        <v>67.099999999999994</v>
      </c>
      <c r="AV91" s="4">
        <v>184</v>
      </c>
      <c r="AW91" s="4">
        <v>141</v>
      </c>
    </row>
    <row r="92" spans="1:49" x14ac:dyDescent="0.2">
      <c r="A92" s="1">
        <v>44635</v>
      </c>
      <c r="B92">
        <f t="shared" si="11"/>
        <v>-2.34</v>
      </c>
      <c r="C92" s="1" t="s">
        <v>57</v>
      </c>
      <c r="D92" s="1" t="s">
        <v>61</v>
      </c>
      <c r="E92" s="1" t="s">
        <v>69</v>
      </c>
      <c r="F92" s="1" t="s">
        <v>50</v>
      </c>
      <c r="G92">
        <v>3747</v>
      </c>
      <c r="H92" s="8"/>
      <c r="I92" s="4">
        <v>108</v>
      </c>
      <c r="J92" s="4">
        <v>65</v>
      </c>
      <c r="K92" s="8"/>
      <c r="L92" s="4">
        <v>99</v>
      </c>
      <c r="M92" s="4">
        <v>70</v>
      </c>
      <c r="N92" s="4">
        <v>91</v>
      </c>
      <c r="O92" s="4">
        <v>65</v>
      </c>
      <c r="P92" s="4">
        <v>64.232002664296701</v>
      </c>
      <c r="Q92" s="4">
        <v>79.908355635925304</v>
      </c>
      <c r="R92" s="8"/>
      <c r="S92" s="7" t="s">
        <v>33</v>
      </c>
      <c r="T92" s="4">
        <v>259320</v>
      </c>
      <c r="U92" s="4">
        <v>845952</v>
      </c>
      <c r="V92" s="4">
        <v>4558</v>
      </c>
      <c r="W92" s="4">
        <v>132400</v>
      </c>
      <c r="X92" s="4">
        <v>200520</v>
      </c>
      <c r="Y92" s="4">
        <v>640000</v>
      </c>
      <c r="Z92" s="4">
        <v>130000</v>
      </c>
      <c r="AA92" s="4">
        <v>7832</v>
      </c>
      <c r="AB92" s="4">
        <v>106129</v>
      </c>
      <c r="AC92" s="4">
        <v>660425</v>
      </c>
      <c r="AD92" s="4">
        <v>2919</v>
      </c>
      <c r="AE92" s="4">
        <v>18090</v>
      </c>
      <c r="AF92" s="4">
        <v>787563</v>
      </c>
      <c r="AG92" s="6">
        <v>93683</v>
      </c>
      <c r="AH92" s="6">
        <v>83663</v>
      </c>
      <c r="AI92" s="6">
        <v>10020</v>
      </c>
      <c r="AJ92" s="6">
        <v>184669</v>
      </c>
      <c r="AK92" s="6">
        <v>51.6</v>
      </c>
      <c r="AL92" s="4">
        <v>2146</v>
      </c>
      <c r="AM92" s="4">
        <v>14305</v>
      </c>
      <c r="AN92" s="4">
        <v>281</v>
      </c>
      <c r="AO92" s="6">
        <v>39174</v>
      </c>
      <c r="AP92" s="6">
        <v>4262</v>
      </c>
      <c r="AQ92" s="6">
        <v>14579</v>
      </c>
      <c r="AR92" s="6">
        <v>20333</v>
      </c>
      <c r="AS92" s="6">
        <v>91.7</v>
      </c>
      <c r="AT92" s="6">
        <v>85.6</v>
      </c>
      <c r="AU92" s="6">
        <v>67</v>
      </c>
      <c r="AV92" s="4">
        <v>159</v>
      </c>
      <c r="AW92" s="4">
        <v>119</v>
      </c>
    </row>
    <row r="93" spans="1:49" x14ac:dyDescent="0.2">
      <c r="A93" s="1">
        <v>44634</v>
      </c>
      <c r="B93">
        <f t="shared" si="11"/>
        <v>-2.34</v>
      </c>
      <c r="C93" s="1" t="s">
        <v>57</v>
      </c>
      <c r="D93" s="1" t="s">
        <v>61</v>
      </c>
      <c r="E93" s="1" t="s">
        <v>69</v>
      </c>
      <c r="F93" s="1" t="s">
        <v>50</v>
      </c>
      <c r="G93">
        <v>3742</v>
      </c>
      <c r="H93" s="8"/>
      <c r="I93" s="4">
        <v>109</v>
      </c>
      <c r="J93" s="4">
        <v>64</v>
      </c>
      <c r="K93" s="8"/>
      <c r="L93" s="4">
        <v>100</v>
      </c>
      <c r="M93" s="4">
        <v>72</v>
      </c>
      <c r="N93" s="4">
        <v>93</v>
      </c>
      <c r="O93" s="4">
        <v>63</v>
      </c>
      <c r="P93" s="4">
        <v>60.743898947832797</v>
      </c>
      <c r="Q93" s="4">
        <v>78.820178486133699</v>
      </c>
      <c r="R93" s="8"/>
      <c r="S93" s="7" t="s">
        <v>33</v>
      </c>
      <c r="T93" s="4">
        <v>181915</v>
      </c>
      <c r="U93" s="4">
        <v>842656</v>
      </c>
      <c r="V93" s="4">
        <v>3034</v>
      </c>
      <c r="W93" s="4">
        <v>132400</v>
      </c>
      <c r="X93" s="4">
        <v>200520</v>
      </c>
      <c r="Y93" s="4">
        <v>640000</v>
      </c>
      <c r="Z93" s="4">
        <v>130000</v>
      </c>
      <c r="AA93" s="4">
        <v>4536</v>
      </c>
      <c r="AB93" s="4">
        <v>86939</v>
      </c>
      <c r="AC93" s="4">
        <v>680603</v>
      </c>
      <c r="AD93" s="4">
        <v>1475</v>
      </c>
      <c r="AE93" s="4">
        <v>13988</v>
      </c>
      <c r="AF93" s="4">
        <v>783005</v>
      </c>
      <c r="AG93" s="6">
        <v>99865</v>
      </c>
      <c r="AH93" s="6">
        <v>88979</v>
      </c>
      <c r="AI93" s="6">
        <v>10886</v>
      </c>
      <c r="AJ93" s="6">
        <v>186452</v>
      </c>
      <c r="AK93" s="6">
        <v>56.1</v>
      </c>
      <c r="AL93" s="4">
        <v>1991</v>
      </c>
      <c r="AM93" s="4">
        <v>13784</v>
      </c>
      <c r="AN93" s="4">
        <v>280</v>
      </c>
      <c r="AO93" s="6">
        <v>46287</v>
      </c>
      <c r="AP93" s="6">
        <v>4763</v>
      </c>
      <c r="AQ93" s="6">
        <v>16929</v>
      </c>
      <c r="AR93" s="6">
        <v>24595</v>
      </c>
      <c r="AS93" s="6">
        <v>91.7</v>
      </c>
      <c r="AT93" s="6">
        <v>85.6</v>
      </c>
      <c r="AU93" s="6">
        <v>67</v>
      </c>
      <c r="AV93" s="4">
        <v>186</v>
      </c>
      <c r="AW93" s="4">
        <v>137</v>
      </c>
    </row>
    <row r="94" spans="1:49" x14ac:dyDescent="0.2">
      <c r="A94" s="1">
        <v>44633</v>
      </c>
      <c r="B94">
        <v>-2.93</v>
      </c>
      <c r="C94" s="1" t="s">
        <v>57</v>
      </c>
      <c r="D94" s="1" t="s">
        <v>61</v>
      </c>
      <c r="E94" s="1" t="s">
        <v>69</v>
      </c>
      <c r="F94" s="1" t="s">
        <v>50</v>
      </c>
      <c r="G94">
        <v>3723</v>
      </c>
      <c r="H94" s="8"/>
      <c r="I94" s="4">
        <v>102</v>
      </c>
      <c r="J94" s="4">
        <v>90</v>
      </c>
      <c r="K94" s="8"/>
      <c r="L94" s="4">
        <v>81</v>
      </c>
      <c r="M94" s="4">
        <v>75</v>
      </c>
      <c r="N94" s="4">
        <v>86</v>
      </c>
      <c r="O94" s="4">
        <v>76</v>
      </c>
      <c r="P94" s="4">
        <v>90.793293796556597</v>
      </c>
      <c r="Q94" s="4">
        <v>88.517917373539206</v>
      </c>
      <c r="R94" s="8"/>
      <c r="S94" s="7" t="s">
        <v>33</v>
      </c>
      <c r="T94" s="4">
        <v>151815</v>
      </c>
      <c r="U94" s="4">
        <v>838514</v>
      </c>
      <c r="V94" s="4">
        <v>525</v>
      </c>
      <c r="W94" s="4">
        <v>132400</v>
      </c>
      <c r="X94" s="4">
        <v>200520</v>
      </c>
      <c r="Y94" s="4">
        <v>634000</v>
      </c>
      <c r="Z94" s="4">
        <v>130000</v>
      </c>
      <c r="AA94" s="4">
        <v>6394</v>
      </c>
      <c r="AB94" s="4">
        <v>61899</v>
      </c>
      <c r="AC94" s="4">
        <v>518384</v>
      </c>
      <c r="AD94" s="4">
        <v>525</v>
      </c>
      <c r="AE94" s="4">
        <v>19810</v>
      </c>
      <c r="AF94" s="4">
        <v>600618</v>
      </c>
      <c r="AG94" s="6">
        <v>75738</v>
      </c>
      <c r="AH94" s="6">
        <v>67831</v>
      </c>
      <c r="AI94" s="6">
        <v>7907</v>
      </c>
      <c r="AJ94" s="6">
        <v>179036</v>
      </c>
      <c r="AK94" s="6">
        <v>58</v>
      </c>
      <c r="AL94" s="4">
        <v>1827</v>
      </c>
      <c r="AM94" s="4">
        <v>13034</v>
      </c>
      <c r="AN94" s="4">
        <v>257</v>
      </c>
      <c r="AO94" s="6">
        <v>26142</v>
      </c>
      <c r="AP94" s="6">
        <v>3851</v>
      </c>
      <c r="AQ94" s="6">
        <v>10520</v>
      </c>
      <c r="AR94" s="6">
        <v>11771</v>
      </c>
      <c r="AS94" s="6">
        <v>91.7</v>
      </c>
      <c r="AT94" s="6">
        <v>85.6</v>
      </c>
      <c r="AU94" s="6">
        <v>67</v>
      </c>
      <c r="AV94" s="4">
        <v>155</v>
      </c>
      <c r="AW94" s="4">
        <v>108</v>
      </c>
    </row>
    <row r="95" spans="1:49" x14ac:dyDescent="0.2">
      <c r="A95" s="1">
        <v>44632</v>
      </c>
      <c r="B95">
        <f>B94</f>
        <v>-2.93</v>
      </c>
      <c r="C95" s="1" t="s">
        <v>57</v>
      </c>
      <c r="D95" s="1" t="s">
        <v>61</v>
      </c>
      <c r="E95" s="1" t="s">
        <v>69</v>
      </c>
      <c r="F95" s="1" t="s">
        <v>50</v>
      </c>
      <c r="G95">
        <v>3706</v>
      </c>
      <c r="H95" s="8"/>
      <c r="I95" s="4">
        <v>101</v>
      </c>
      <c r="J95" s="4">
        <v>89</v>
      </c>
      <c r="K95" s="8"/>
      <c r="L95" s="4">
        <v>81</v>
      </c>
      <c r="M95" s="4">
        <v>75</v>
      </c>
      <c r="N95" s="4">
        <v>91</v>
      </c>
      <c r="O95" s="4">
        <v>75</v>
      </c>
      <c r="P95" s="4">
        <v>80.971761906991702</v>
      </c>
      <c r="Q95" s="4">
        <v>87.451947500319505</v>
      </c>
      <c r="R95" s="8"/>
      <c r="S95" s="7" t="s">
        <v>33</v>
      </c>
      <c r="T95" s="4">
        <v>170796</v>
      </c>
      <c r="U95" s="4">
        <v>834520</v>
      </c>
      <c r="V95" s="4">
        <v>2514</v>
      </c>
      <c r="W95" s="4">
        <v>132400</v>
      </c>
      <c r="X95" s="4">
        <v>200520</v>
      </c>
      <c r="Y95" s="4">
        <v>634000</v>
      </c>
      <c r="Z95" s="4">
        <v>130000</v>
      </c>
      <c r="AA95" s="4">
        <v>2400</v>
      </c>
      <c r="AB95" s="4">
        <v>67155</v>
      </c>
      <c r="AC95" s="4">
        <v>484611</v>
      </c>
      <c r="AD95" s="4">
        <v>2514</v>
      </c>
      <c r="AE95" s="4">
        <v>15788</v>
      </c>
      <c r="AF95" s="4">
        <v>570068</v>
      </c>
      <c r="AG95" s="6">
        <v>62062</v>
      </c>
      <c r="AH95" s="6">
        <v>55906</v>
      </c>
      <c r="AI95" s="6">
        <v>6156</v>
      </c>
      <c r="AJ95" s="6">
        <v>169980</v>
      </c>
      <c r="AK95" s="6">
        <v>58.399999999999899</v>
      </c>
      <c r="AL95" s="4">
        <v>1628</v>
      </c>
      <c r="AM95" s="4">
        <v>12658</v>
      </c>
      <c r="AN95" s="4">
        <v>252</v>
      </c>
      <c r="AO95" s="6">
        <v>50387</v>
      </c>
      <c r="AP95" s="6">
        <v>8047</v>
      </c>
      <c r="AQ95" s="6">
        <v>19735</v>
      </c>
      <c r="AR95" s="6">
        <v>22605</v>
      </c>
      <c r="AS95" s="6">
        <v>91.6</v>
      </c>
      <c r="AT95" s="6">
        <v>85.6</v>
      </c>
      <c r="AU95" s="6">
        <v>66.900000000000006</v>
      </c>
      <c r="AV95" s="4">
        <v>145</v>
      </c>
      <c r="AW95" s="4">
        <v>117</v>
      </c>
    </row>
    <row r="96" spans="1:49" x14ac:dyDescent="0.2">
      <c r="A96" s="1">
        <v>44631</v>
      </c>
      <c r="B96">
        <f t="shared" ref="B96:B100" si="12">B95</f>
        <v>-2.93</v>
      </c>
      <c r="C96" s="1" t="s">
        <v>57</v>
      </c>
      <c r="D96" s="1" t="s">
        <v>61</v>
      </c>
      <c r="E96" s="1" t="s">
        <v>69</v>
      </c>
      <c r="F96" s="1" t="s">
        <v>50</v>
      </c>
      <c r="G96">
        <v>3693</v>
      </c>
      <c r="H96" s="8"/>
      <c r="I96" s="4">
        <v>110</v>
      </c>
      <c r="J96" s="4">
        <v>65</v>
      </c>
      <c r="K96" s="8"/>
      <c r="L96" s="4">
        <v>71</v>
      </c>
      <c r="M96" s="4">
        <v>67</v>
      </c>
      <c r="N96" s="4">
        <v>89</v>
      </c>
      <c r="O96" s="4">
        <v>63</v>
      </c>
      <c r="P96" s="4">
        <v>62.411495815806099</v>
      </c>
      <c r="Q96" s="4">
        <v>78.466703363102297</v>
      </c>
      <c r="R96" s="8"/>
      <c r="S96" s="7" t="s">
        <v>33</v>
      </c>
      <c r="T96" s="4">
        <v>198668</v>
      </c>
      <c r="U96" s="4">
        <v>834520</v>
      </c>
      <c r="V96" s="4">
        <v>4231</v>
      </c>
      <c r="W96" s="4">
        <v>132400</v>
      </c>
      <c r="X96" s="4">
        <v>200520</v>
      </c>
      <c r="Y96" s="4">
        <v>634000</v>
      </c>
      <c r="Z96" s="4">
        <v>130000</v>
      </c>
      <c r="AA96" s="4">
        <v>2400</v>
      </c>
      <c r="AB96" s="4">
        <v>82474</v>
      </c>
      <c r="AC96" s="4">
        <v>600169</v>
      </c>
      <c r="AD96" s="4">
        <v>3998</v>
      </c>
      <c r="AE96" s="4">
        <v>10308</v>
      </c>
      <c r="AF96" s="4">
        <v>696949</v>
      </c>
      <c r="AG96" s="6">
        <v>67038</v>
      </c>
      <c r="AH96" s="6">
        <v>60377</v>
      </c>
      <c r="AI96" s="6">
        <v>6661</v>
      </c>
      <c r="AJ96" s="6">
        <v>160334</v>
      </c>
      <c r="AK96" s="6">
        <v>57.799999999999898</v>
      </c>
      <c r="AL96" s="4">
        <v>1736</v>
      </c>
      <c r="AM96" s="4">
        <v>12346</v>
      </c>
      <c r="AN96" s="4">
        <v>254</v>
      </c>
      <c r="AO96" s="6">
        <v>39134</v>
      </c>
      <c r="AP96" s="6">
        <v>4438</v>
      </c>
      <c r="AQ96" s="6">
        <v>14366</v>
      </c>
      <c r="AR96" s="6">
        <v>20330</v>
      </c>
      <c r="AS96" s="6">
        <v>91.6</v>
      </c>
      <c r="AT96" s="6">
        <v>85.5</v>
      </c>
      <c r="AU96" s="6">
        <v>66.900000000000006</v>
      </c>
      <c r="AV96" s="4">
        <v>145</v>
      </c>
      <c r="AW96" s="4">
        <v>119</v>
      </c>
    </row>
    <row r="97" spans="1:49" x14ac:dyDescent="0.2">
      <c r="A97" s="1">
        <v>44630</v>
      </c>
      <c r="B97">
        <f t="shared" si="12"/>
        <v>-2.93</v>
      </c>
      <c r="C97" s="1" t="s">
        <v>57</v>
      </c>
      <c r="D97" s="1" t="s">
        <v>61</v>
      </c>
      <c r="E97" s="1" t="s">
        <v>69</v>
      </c>
      <c r="F97" s="1" t="s">
        <v>50</v>
      </c>
      <c r="G97">
        <v>3677</v>
      </c>
      <c r="H97" s="8"/>
      <c r="I97" s="4">
        <v>108</v>
      </c>
      <c r="J97" s="4">
        <v>66</v>
      </c>
      <c r="K97" s="8"/>
      <c r="L97" s="4">
        <v>101</v>
      </c>
      <c r="M97" s="4">
        <v>72</v>
      </c>
      <c r="N97" s="4">
        <v>92</v>
      </c>
      <c r="O97" s="4">
        <v>64</v>
      </c>
      <c r="P97" s="4">
        <v>65.972964466302599</v>
      </c>
      <c r="Q97" s="4">
        <v>79.847018663541405</v>
      </c>
      <c r="R97" s="8"/>
      <c r="S97" s="7" t="s">
        <v>33</v>
      </c>
      <c r="T97" s="4">
        <v>223076</v>
      </c>
      <c r="U97" s="4">
        <v>834496</v>
      </c>
      <c r="V97" s="4">
        <v>3849</v>
      </c>
      <c r="W97" s="4">
        <v>132400</v>
      </c>
      <c r="X97" s="4">
        <v>200496</v>
      </c>
      <c r="Y97" s="4">
        <v>634000</v>
      </c>
      <c r="Z97" s="4">
        <v>130000</v>
      </c>
      <c r="AA97" s="4">
        <v>4726</v>
      </c>
      <c r="AB97" s="4">
        <v>83174</v>
      </c>
      <c r="AC97" s="4">
        <v>626200</v>
      </c>
      <c r="AD97" s="4">
        <v>2976</v>
      </c>
      <c r="AE97" s="4">
        <v>17855</v>
      </c>
      <c r="AF97" s="4">
        <v>730205</v>
      </c>
      <c r="AG97" s="6">
        <v>70507</v>
      </c>
      <c r="AH97" s="6">
        <v>63266</v>
      </c>
      <c r="AI97" s="6">
        <v>7241</v>
      </c>
      <c r="AJ97" s="6">
        <v>148250</v>
      </c>
      <c r="AK97" s="6">
        <v>56.2</v>
      </c>
      <c r="AL97" s="4">
        <v>1719</v>
      </c>
      <c r="AM97" s="4">
        <v>12173</v>
      </c>
      <c r="AN97" s="4">
        <v>253</v>
      </c>
      <c r="AO97" s="6">
        <v>39663</v>
      </c>
      <c r="AP97" s="6">
        <v>4765</v>
      </c>
      <c r="AQ97" s="6">
        <v>14282</v>
      </c>
      <c r="AR97" s="6">
        <v>20616</v>
      </c>
      <c r="AS97" s="6">
        <v>91.6</v>
      </c>
      <c r="AT97" s="6">
        <v>85.5</v>
      </c>
      <c r="AU97" s="6">
        <v>66.900000000000006</v>
      </c>
      <c r="AV97" s="4">
        <v>153</v>
      </c>
      <c r="AW97" s="4">
        <v>113</v>
      </c>
    </row>
    <row r="98" spans="1:49" x14ac:dyDescent="0.2">
      <c r="A98" s="1">
        <v>44629</v>
      </c>
      <c r="B98">
        <f t="shared" si="12"/>
        <v>-2.93</v>
      </c>
      <c r="C98" s="1" t="s">
        <v>57</v>
      </c>
      <c r="D98" s="1" t="s">
        <v>61</v>
      </c>
      <c r="E98" s="1" t="s">
        <v>69</v>
      </c>
      <c r="F98" s="1" t="s">
        <v>50</v>
      </c>
      <c r="G98">
        <v>3674</v>
      </c>
      <c r="H98" s="8"/>
      <c r="I98" s="4">
        <v>109</v>
      </c>
      <c r="J98" s="4">
        <v>65</v>
      </c>
      <c r="K98" s="8"/>
      <c r="L98" s="4">
        <v>92</v>
      </c>
      <c r="M98" s="4">
        <v>71</v>
      </c>
      <c r="N98" s="4">
        <v>91</v>
      </c>
      <c r="O98" s="4">
        <v>63</v>
      </c>
      <c r="P98" s="4">
        <v>64.397806997228201</v>
      </c>
      <c r="Q98" s="4">
        <v>78.947175842260805</v>
      </c>
      <c r="R98" s="8"/>
      <c r="S98" s="7" t="s">
        <v>33</v>
      </c>
      <c r="T98" s="4">
        <v>222592</v>
      </c>
      <c r="U98" s="4">
        <v>834496</v>
      </c>
      <c r="V98" s="4">
        <v>5279</v>
      </c>
      <c r="W98" s="4">
        <v>132400</v>
      </c>
      <c r="X98" s="4">
        <v>200496</v>
      </c>
      <c r="Y98" s="4">
        <v>634000</v>
      </c>
      <c r="Z98" s="4">
        <v>130000</v>
      </c>
      <c r="AA98" s="4">
        <v>2400</v>
      </c>
      <c r="AB98" s="4">
        <v>94927</v>
      </c>
      <c r="AC98" s="4">
        <v>631280</v>
      </c>
      <c r="AD98" s="4">
        <v>3987</v>
      </c>
      <c r="AE98" s="4">
        <v>15290</v>
      </c>
      <c r="AF98" s="4">
        <v>745484</v>
      </c>
      <c r="AG98" s="6">
        <v>73521</v>
      </c>
      <c r="AH98" s="6">
        <v>66026</v>
      </c>
      <c r="AI98" s="6">
        <v>7495</v>
      </c>
      <c r="AJ98" s="6">
        <v>134626</v>
      </c>
      <c r="AK98" s="6">
        <v>53.7</v>
      </c>
      <c r="AL98" s="4">
        <v>1832</v>
      </c>
      <c r="AM98" s="4">
        <v>11975</v>
      </c>
      <c r="AN98" s="4">
        <v>266</v>
      </c>
      <c r="AO98" s="6">
        <v>41773</v>
      </c>
      <c r="AP98" s="6">
        <v>5196</v>
      </c>
      <c r="AQ98" s="6">
        <v>15331</v>
      </c>
      <c r="AR98" s="6">
        <v>21246</v>
      </c>
      <c r="AS98" s="6">
        <v>91.6</v>
      </c>
      <c r="AT98" s="6">
        <v>85.5</v>
      </c>
      <c r="AU98" s="6">
        <v>66.8</v>
      </c>
      <c r="AV98" s="4">
        <v>143</v>
      </c>
      <c r="AW98" s="4">
        <v>104</v>
      </c>
    </row>
    <row r="99" spans="1:49" x14ac:dyDescent="0.2">
      <c r="A99" s="1">
        <v>44628</v>
      </c>
      <c r="B99">
        <f t="shared" si="12"/>
        <v>-2.93</v>
      </c>
      <c r="C99" s="1" t="s">
        <v>57</v>
      </c>
      <c r="D99" s="1" t="s">
        <v>61</v>
      </c>
      <c r="E99" s="1" t="s">
        <v>69</v>
      </c>
      <c r="F99" s="1" t="s">
        <v>50</v>
      </c>
      <c r="G99">
        <v>3669</v>
      </c>
      <c r="H99" s="8"/>
      <c r="I99" s="4">
        <v>108</v>
      </c>
      <c r="J99" s="4">
        <v>64</v>
      </c>
      <c r="K99" s="8"/>
      <c r="L99" s="4">
        <v>96</v>
      </c>
      <c r="M99" s="4">
        <v>72</v>
      </c>
      <c r="N99" s="4">
        <v>94</v>
      </c>
      <c r="O99" s="4">
        <v>64</v>
      </c>
      <c r="P99" s="4">
        <v>64.745667938274096</v>
      </c>
      <c r="Q99" s="4">
        <v>79.408660036491796</v>
      </c>
      <c r="R99" s="8"/>
      <c r="S99" s="7" t="s">
        <v>33</v>
      </c>
      <c r="T99" s="4">
        <v>229791</v>
      </c>
      <c r="U99" s="4">
        <v>834496</v>
      </c>
      <c r="V99" s="4">
        <v>4752</v>
      </c>
      <c r="W99" s="4">
        <v>132400</v>
      </c>
      <c r="X99" s="4">
        <v>200496</v>
      </c>
      <c r="Y99" s="4">
        <v>634000</v>
      </c>
      <c r="Z99" s="4">
        <v>130000</v>
      </c>
      <c r="AA99" s="4">
        <v>2400</v>
      </c>
      <c r="AB99" s="4">
        <v>105444</v>
      </c>
      <c r="AC99" s="4">
        <v>594351</v>
      </c>
      <c r="AD99" s="4">
        <v>3028</v>
      </c>
      <c r="AE99" s="4">
        <v>11478</v>
      </c>
      <c r="AF99" s="4">
        <v>714301</v>
      </c>
      <c r="AG99" s="6">
        <v>70123</v>
      </c>
      <c r="AH99" s="6">
        <v>62968</v>
      </c>
      <c r="AI99" s="6">
        <v>7155</v>
      </c>
      <c r="AJ99" s="6">
        <v>116967</v>
      </c>
      <c r="AK99" s="6">
        <v>48.6</v>
      </c>
      <c r="AL99" s="4">
        <v>1699</v>
      </c>
      <c r="AM99" s="4">
        <v>11856</v>
      </c>
      <c r="AN99" s="4">
        <v>275</v>
      </c>
      <c r="AO99" s="6">
        <v>39314</v>
      </c>
      <c r="AP99" s="6">
        <v>4564</v>
      </c>
      <c r="AQ99" s="6">
        <v>14655</v>
      </c>
      <c r="AR99" s="6">
        <v>20095</v>
      </c>
      <c r="AS99" s="6">
        <v>91.6</v>
      </c>
      <c r="AT99" s="6">
        <v>85.4</v>
      </c>
      <c r="AU99" s="6">
        <v>66.8</v>
      </c>
      <c r="AV99" s="4">
        <v>150</v>
      </c>
      <c r="AW99" s="4">
        <v>117</v>
      </c>
    </row>
    <row r="100" spans="1:49" x14ac:dyDescent="0.2">
      <c r="A100" s="1">
        <v>44627</v>
      </c>
      <c r="B100">
        <f t="shared" si="12"/>
        <v>-2.93</v>
      </c>
      <c r="C100" s="1" t="s">
        <v>57</v>
      </c>
      <c r="D100" s="1" t="s">
        <v>61</v>
      </c>
      <c r="E100" s="1" t="s">
        <v>69</v>
      </c>
      <c r="F100" s="1" t="s">
        <v>50</v>
      </c>
      <c r="G100">
        <v>3645</v>
      </c>
      <c r="H100" s="8"/>
      <c r="I100" s="4">
        <v>109</v>
      </c>
      <c r="J100" s="4">
        <v>63</v>
      </c>
      <c r="K100" s="8"/>
      <c r="L100" s="4">
        <v>99</v>
      </c>
      <c r="M100" s="4">
        <v>74</v>
      </c>
      <c r="N100" s="4">
        <v>93</v>
      </c>
      <c r="O100" s="4">
        <v>62</v>
      </c>
      <c r="P100" s="4">
        <v>60.470759492601402</v>
      </c>
      <c r="Q100" s="4">
        <v>78.431058846606803</v>
      </c>
      <c r="R100" s="8"/>
      <c r="S100" s="7" t="s">
        <v>33</v>
      </c>
      <c r="T100" s="4">
        <v>180822</v>
      </c>
      <c r="U100" s="4">
        <v>834496</v>
      </c>
      <c r="V100" s="4">
        <v>3538</v>
      </c>
      <c r="W100" s="4">
        <v>132400</v>
      </c>
      <c r="X100" s="4">
        <v>200496</v>
      </c>
      <c r="Y100" s="4">
        <v>634000</v>
      </c>
      <c r="Z100" s="4">
        <v>130000</v>
      </c>
      <c r="AA100" s="4">
        <v>2400</v>
      </c>
      <c r="AB100" s="4">
        <v>99720</v>
      </c>
      <c r="AC100" s="4">
        <v>615132</v>
      </c>
      <c r="AD100" s="4">
        <v>1352</v>
      </c>
      <c r="AE100" s="4">
        <v>12229</v>
      </c>
      <c r="AF100" s="4">
        <v>728433</v>
      </c>
      <c r="AG100" s="6">
        <v>68541</v>
      </c>
      <c r="AH100" s="6">
        <v>61150</v>
      </c>
      <c r="AI100" s="6">
        <v>7391</v>
      </c>
      <c r="AJ100" s="6">
        <v>97260</v>
      </c>
      <c r="AK100" s="6">
        <v>41.399999999999899</v>
      </c>
      <c r="AL100" s="4">
        <v>1531</v>
      </c>
      <c r="AM100" s="4">
        <v>11533</v>
      </c>
      <c r="AN100" s="4">
        <v>269</v>
      </c>
      <c r="AO100" s="6">
        <v>37439</v>
      </c>
      <c r="AP100" s="6">
        <v>4596</v>
      </c>
      <c r="AQ100" s="6">
        <v>13522</v>
      </c>
      <c r="AR100" s="6">
        <v>19321</v>
      </c>
      <c r="AS100" s="6">
        <v>91.6</v>
      </c>
      <c r="AT100" s="6">
        <v>85.4</v>
      </c>
      <c r="AU100" s="6">
        <v>66.8</v>
      </c>
      <c r="AV100" s="4">
        <v>149</v>
      </c>
      <c r="AW100" s="4">
        <v>123</v>
      </c>
    </row>
    <row r="101" spans="1:49" x14ac:dyDescent="0.2">
      <c r="A101" s="1">
        <v>44626</v>
      </c>
      <c r="B101">
        <v>-0.25</v>
      </c>
      <c r="C101" s="1" t="s">
        <v>57</v>
      </c>
      <c r="D101" s="1" t="s">
        <v>61</v>
      </c>
      <c r="E101" s="1" t="s">
        <v>69</v>
      </c>
      <c r="F101" s="1" t="s">
        <v>50</v>
      </c>
      <c r="G101">
        <v>3641</v>
      </c>
      <c r="H101" s="8"/>
      <c r="I101" s="4">
        <v>101</v>
      </c>
      <c r="J101" s="4">
        <v>92</v>
      </c>
      <c r="K101" s="8"/>
      <c r="L101" s="4">
        <v>94</v>
      </c>
      <c r="M101" s="4">
        <v>78</v>
      </c>
      <c r="N101" s="4">
        <v>89</v>
      </c>
      <c r="O101" s="4">
        <v>74</v>
      </c>
      <c r="P101" s="4">
        <v>82.669457497964999</v>
      </c>
      <c r="Q101" s="4">
        <v>90.981875572157904</v>
      </c>
      <c r="R101" s="8"/>
      <c r="S101" s="7" t="s">
        <v>33</v>
      </c>
      <c r="T101" s="4">
        <v>134582</v>
      </c>
      <c r="U101" s="4">
        <v>834496</v>
      </c>
      <c r="V101" s="4">
        <v>460</v>
      </c>
      <c r="W101" s="4">
        <v>132400</v>
      </c>
      <c r="X101" s="4">
        <v>200496</v>
      </c>
      <c r="Y101" s="4">
        <v>634000</v>
      </c>
      <c r="Z101" s="4">
        <v>130000</v>
      </c>
      <c r="AA101" s="4">
        <v>2400</v>
      </c>
      <c r="AB101" s="4">
        <v>66683</v>
      </c>
      <c r="AC101" s="4">
        <v>449042</v>
      </c>
      <c r="AD101" s="4">
        <v>460</v>
      </c>
      <c r="AE101" s="4">
        <v>13492</v>
      </c>
      <c r="AF101" s="4">
        <v>529677</v>
      </c>
      <c r="AG101" s="6">
        <v>49021</v>
      </c>
      <c r="AH101" s="6">
        <v>44192</v>
      </c>
      <c r="AI101" s="6">
        <v>4829</v>
      </c>
      <c r="AJ101" s="6">
        <v>72869</v>
      </c>
      <c r="AK101" s="6">
        <v>30.899999999999899</v>
      </c>
      <c r="AL101" s="4">
        <v>1455</v>
      </c>
      <c r="AM101" s="4">
        <v>11057</v>
      </c>
      <c r="AN101" s="4">
        <v>263</v>
      </c>
      <c r="AO101" s="6">
        <v>28355</v>
      </c>
      <c r="AP101" s="6">
        <v>4059</v>
      </c>
      <c r="AQ101" s="6">
        <v>9894</v>
      </c>
      <c r="AR101" s="6">
        <v>14402</v>
      </c>
      <c r="AS101" s="6">
        <v>91.6</v>
      </c>
      <c r="AT101" s="6">
        <v>85.4</v>
      </c>
      <c r="AU101" s="6">
        <v>66.7</v>
      </c>
      <c r="AV101" s="4">
        <v>131</v>
      </c>
      <c r="AW101" s="4">
        <v>91</v>
      </c>
    </row>
    <row r="102" spans="1:49" x14ac:dyDescent="0.2">
      <c r="A102" s="1">
        <v>44625</v>
      </c>
      <c r="B102">
        <f>B101</f>
        <v>-0.25</v>
      </c>
      <c r="C102" s="1" t="s">
        <v>57</v>
      </c>
      <c r="D102" s="1" t="s">
        <v>61</v>
      </c>
      <c r="E102" s="1" t="s">
        <v>69</v>
      </c>
      <c r="F102" s="1" t="s">
        <v>50</v>
      </c>
      <c r="G102">
        <v>3619</v>
      </c>
      <c r="H102" s="8"/>
      <c r="I102" s="4">
        <v>103</v>
      </c>
      <c r="J102" s="4">
        <v>89</v>
      </c>
      <c r="K102" s="8"/>
      <c r="L102" s="4">
        <v>67</v>
      </c>
      <c r="M102" s="4">
        <v>74</v>
      </c>
      <c r="N102" s="4">
        <v>90</v>
      </c>
      <c r="O102" s="4">
        <v>73</v>
      </c>
      <c r="P102" s="4">
        <v>76.681004874532405</v>
      </c>
      <c r="Q102" s="4">
        <v>83.347672474610704</v>
      </c>
      <c r="R102" s="8"/>
      <c r="S102" s="7" t="s">
        <v>33</v>
      </c>
      <c r="T102" s="4">
        <v>159436</v>
      </c>
      <c r="U102" s="4">
        <v>834498</v>
      </c>
      <c r="V102" s="4">
        <v>2584</v>
      </c>
      <c r="W102" s="4">
        <v>132400</v>
      </c>
      <c r="X102" s="4">
        <v>200496</v>
      </c>
      <c r="Y102" s="4">
        <v>634000</v>
      </c>
      <c r="Z102" s="4">
        <v>130000</v>
      </c>
      <c r="AA102" s="4">
        <v>2402</v>
      </c>
      <c r="AB102" s="4">
        <v>70462</v>
      </c>
      <c r="AC102" s="4">
        <v>420545</v>
      </c>
      <c r="AD102" s="4">
        <v>2584</v>
      </c>
      <c r="AE102" s="4">
        <v>11662</v>
      </c>
      <c r="AF102" s="4">
        <v>505253</v>
      </c>
      <c r="AG102" s="6">
        <v>38752</v>
      </c>
      <c r="AH102" s="6">
        <v>35193</v>
      </c>
      <c r="AI102" s="6">
        <v>3559</v>
      </c>
      <c r="AJ102" s="6">
        <v>48887</v>
      </c>
      <c r="AK102" s="6">
        <v>20.1999999999999</v>
      </c>
      <c r="AL102" s="4">
        <v>1246</v>
      </c>
      <c r="AM102" s="4">
        <v>10911</v>
      </c>
      <c r="AN102" s="4">
        <v>256</v>
      </c>
      <c r="AO102" s="6">
        <v>52648</v>
      </c>
      <c r="AP102" s="6">
        <v>8168</v>
      </c>
      <c r="AQ102" s="6">
        <v>18808</v>
      </c>
      <c r="AR102" s="6">
        <v>25672</v>
      </c>
      <c r="AS102" s="6">
        <v>91.6</v>
      </c>
      <c r="AT102" s="6">
        <v>85.4</v>
      </c>
      <c r="AU102" s="6">
        <v>66.7</v>
      </c>
      <c r="AV102" s="4">
        <v>127</v>
      </c>
      <c r="AW102" s="4">
        <v>101</v>
      </c>
    </row>
    <row r="103" spans="1:49" x14ac:dyDescent="0.2">
      <c r="A103" s="1">
        <v>44624</v>
      </c>
      <c r="B103">
        <f t="shared" ref="B103:B107" si="13">B102</f>
        <v>-0.25</v>
      </c>
      <c r="C103" s="1" t="s">
        <v>57</v>
      </c>
      <c r="D103" s="1" t="s">
        <v>61</v>
      </c>
      <c r="E103" s="1" t="s">
        <v>69</v>
      </c>
      <c r="F103" s="1" t="s">
        <v>50</v>
      </c>
      <c r="G103">
        <v>3600</v>
      </c>
      <c r="H103" s="8"/>
      <c r="I103" s="4">
        <v>109</v>
      </c>
      <c r="J103" s="4">
        <v>65</v>
      </c>
      <c r="K103" s="8"/>
      <c r="L103" s="4">
        <v>78</v>
      </c>
      <c r="M103" s="4">
        <v>71</v>
      </c>
      <c r="N103" s="4">
        <v>93</v>
      </c>
      <c r="O103" s="4">
        <v>65</v>
      </c>
      <c r="P103" s="4">
        <v>55.690696074351898</v>
      </c>
      <c r="Q103" s="4">
        <v>81.666309308567094</v>
      </c>
      <c r="R103" s="8"/>
      <c r="S103" s="7" t="s">
        <v>33</v>
      </c>
      <c r="T103" s="4">
        <v>183390</v>
      </c>
      <c r="U103" s="4">
        <v>834751</v>
      </c>
      <c r="V103" s="4">
        <v>4207</v>
      </c>
      <c r="W103" s="4">
        <v>132400</v>
      </c>
      <c r="X103" s="4">
        <v>200496</v>
      </c>
      <c r="Y103" s="4">
        <v>634000</v>
      </c>
      <c r="Z103" s="4">
        <v>130000</v>
      </c>
      <c r="AA103" s="4">
        <v>2655</v>
      </c>
      <c r="AB103" s="4">
        <v>84235</v>
      </c>
      <c r="AC103" s="4">
        <v>530785</v>
      </c>
      <c r="AD103" s="4">
        <v>2744</v>
      </c>
      <c r="AE103" s="4">
        <v>12662</v>
      </c>
      <c r="AF103" s="4">
        <v>630426</v>
      </c>
      <c r="AG103" s="6">
        <v>41396</v>
      </c>
      <c r="AH103" s="6">
        <v>37409</v>
      </c>
      <c r="AI103" s="6">
        <v>3987</v>
      </c>
      <c r="AJ103" s="6">
        <v>25667</v>
      </c>
      <c r="AK103" s="6">
        <v>10.1999999999999</v>
      </c>
      <c r="AL103" s="4">
        <v>1370</v>
      </c>
      <c r="AM103" s="4">
        <v>10913</v>
      </c>
      <c r="AN103" s="4">
        <v>257</v>
      </c>
      <c r="AO103" s="6">
        <v>48500</v>
      </c>
      <c r="AP103" s="6">
        <v>6688</v>
      </c>
      <c r="AQ103" s="6">
        <v>16561</v>
      </c>
      <c r="AR103" s="6">
        <v>25251</v>
      </c>
      <c r="AS103" s="6">
        <v>91.6</v>
      </c>
      <c r="AT103" s="6">
        <v>85.3</v>
      </c>
      <c r="AU103" s="6">
        <v>66.7</v>
      </c>
      <c r="AV103" s="4">
        <v>133</v>
      </c>
      <c r="AW103" s="4">
        <v>109</v>
      </c>
    </row>
    <row r="104" spans="1:49" x14ac:dyDescent="0.2">
      <c r="A104" s="1">
        <v>44623</v>
      </c>
      <c r="B104">
        <f t="shared" si="13"/>
        <v>-0.25</v>
      </c>
      <c r="C104" s="1" t="s">
        <v>57</v>
      </c>
      <c r="D104" s="1" t="s">
        <v>61</v>
      </c>
      <c r="E104" s="1" t="s">
        <v>69</v>
      </c>
      <c r="F104" s="1" t="s">
        <v>50</v>
      </c>
      <c r="G104">
        <v>3592</v>
      </c>
      <c r="H104" s="8"/>
      <c r="I104" s="4">
        <v>111</v>
      </c>
      <c r="J104" s="4">
        <v>60</v>
      </c>
      <c r="K104" s="8"/>
      <c r="L104" s="4">
        <v>99</v>
      </c>
      <c r="M104" s="4">
        <v>70</v>
      </c>
      <c r="N104" s="4">
        <v>95</v>
      </c>
      <c r="O104" s="4">
        <v>57</v>
      </c>
      <c r="P104" s="4">
        <v>4.0930524501122703</v>
      </c>
      <c r="Q104" s="4">
        <v>87.544407611937501</v>
      </c>
      <c r="R104" s="8"/>
      <c r="S104" s="7" t="s">
        <v>33</v>
      </c>
      <c r="T104" s="4">
        <v>198536</v>
      </c>
      <c r="U104" s="4">
        <v>836698</v>
      </c>
      <c r="V104" s="4">
        <v>5264</v>
      </c>
      <c r="W104" s="4">
        <v>132400</v>
      </c>
      <c r="X104" s="4">
        <v>200505</v>
      </c>
      <c r="Y104" s="4">
        <v>634000</v>
      </c>
      <c r="Z104" s="4">
        <v>130000</v>
      </c>
      <c r="AA104" s="4">
        <v>4593</v>
      </c>
      <c r="AB104" s="4">
        <v>85220</v>
      </c>
      <c r="AC104" s="4">
        <v>561583</v>
      </c>
      <c r="AD104" s="4">
        <v>3370</v>
      </c>
      <c r="AE104" s="4">
        <v>17044</v>
      </c>
      <c r="AF104" s="4">
        <v>667217</v>
      </c>
      <c r="AG104" s="6">
        <v>43750</v>
      </c>
      <c r="AH104" s="6">
        <v>39521</v>
      </c>
      <c r="AI104" s="6">
        <v>4229</v>
      </c>
      <c r="AJ104" s="6">
        <v>6711</v>
      </c>
      <c r="AK104" s="6">
        <v>2.6</v>
      </c>
      <c r="AL104" s="4">
        <v>1476</v>
      </c>
      <c r="AM104" s="4">
        <v>10715</v>
      </c>
      <c r="AN104" s="4">
        <v>264</v>
      </c>
      <c r="AO104" s="6">
        <v>54159</v>
      </c>
      <c r="AP104" s="6">
        <v>6347</v>
      </c>
      <c r="AQ104" s="6">
        <v>17629</v>
      </c>
      <c r="AR104" s="6">
        <v>30183</v>
      </c>
      <c r="AS104" s="6">
        <v>91.6</v>
      </c>
      <c r="AT104" s="6">
        <v>85.3</v>
      </c>
      <c r="AU104" s="6">
        <v>66.599999999999994</v>
      </c>
      <c r="AV104" s="4">
        <v>157</v>
      </c>
      <c r="AW104" s="4">
        <v>100</v>
      </c>
    </row>
    <row r="105" spans="1:49" x14ac:dyDescent="0.2">
      <c r="A105" s="1">
        <v>44622</v>
      </c>
      <c r="B105">
        <f t="shared" si="13"/>
        <v>-0.25</v>
      </c>
      <c r="C105" s="1" t="s">
        <v>57</v>
      </c>
      <c r="D105" s="1" t="s">
        <v>61</v>
      </c>
      <c r="E105" s="1" t="s">
        <v>69</v>
      </c>
      <c r="F105" s="1" t="s">
        <v>50</v>
      </c>
      <c r="G105">
        <v>3559</v>
      </c>
      <c r="H105" s="8"/>
      <c r="I105" s="4">
        <v>110</v>
      </c>
      <c r="J105" s="4">
        <v>63</v>
      </c>
      <c r="K105" s="8"/>
      <c r="L105" s="4">
        <v>79</v>
      </c>
      <c r="M105" s="4">
        <v>71</v>
      </c>
      <c r="N105" s="4">
        <v>92</v>
      </c>
      <c r="O105" s="4">
        <v>65</v>
      </c>
      <c r="P105" s="4">
        <v>52.481890615085902</v>
      </c>
      <c r="Q105" s="4">
        <v>81.631265289782903</v>
      </c>
      <c r="R105" s="8"/>
      <c r="S105" s="7" t="s">
        <v>33</v>
      </c>
      <c r="T105" s="4">
        <v>204568</v>
      </c>
      <c r="U105" s="4">
        <v>837700</v>
      </c>
      <c r="V105" s="4">
        <v>4826</v>
      </c>
      <c r="W105" s="4">
        <v>132400</v>
      </c>
      <c r="X105" s="4">
        <v>200505</v>
      </c>
      <c r="Y105" s="4">
        <v>634000</v>
      </c>
      <c r="Z105" s="4">
        <v>130000</v>
      </c>
      <c r="AA105" s="4">
        <v>5595</v>
      </c>
      <c r="AB105" s="4">
        <v>81359</v>
      </c>
      <c r="AC105" s="4">
        <v>598435</v>
      </c>
      <c r="AD105" s="4">
        <v>3192</v>
      </c>
      <c r="AE105" s="4">
        <v>20173</v>
      </c>
      <c r="AF105" s="4">
        <v>703159</v>
      </c>
      <c r="AG105" s="6">
        <v>46162</v>
      </c>
      <c r="AH105" s="6">
        <v>41604</v>
      </c>
      <c r="AI105" s="6">
        <v>4558</v>
      </c>
      <c r="AJ105" s="6">
        <v>-20496</v>
      </c>
      <c r="AK105" s="6">
        <v>-7.5999999999999899</v>
      </c>
      <c r="AL105" s="4">
        <v>1457</v>
      </c>
      <c r="AM105" s="4">
        <v>10857</v>
      </c>
      <c r="AN105" s="4">
        <v>279</v>
      </c>
      <c r="AO105" s="6">
        <v>45484</v>
      </c>
      <c r="AP105" s="6">
        <v>7448</v>
      </c>
      <c r="AQ105" s="6">
        <v>14410</v>
      </c>
      <c r="AR105" s="6">
        <v>23626</v>
      </c>
      <c r="AS105" s="6">
        <v>91.5</v>
      </c>
      <c r="AT105" s="6">
        <v>85.3</v>
      </c>
      <c r="AU105" s="6">
        <v>66.599999999999994</v>
      </c>
      <c r="AV105" s="4">
        <v>162</v>
      </c>
      <c r="AW105" s="4">
        <v>145</v>
      </c>
    </row>
    <row r="106" spans="1:49" x14ac:dyDescent="0.2">
      <c r="A106" s="1">
        <v>44621</v>
      </c>
      <c r="B106">
        <f t="shared" si="13"/>
        <v>-0.25</v>
      </c>
      <c r="C106" s="1" t="s">
        <v>57</v>
      </c>
      <c r="D106" s="1" t="s">
        <v>61</v>
      </c>
      <c r="E106" s="1" t="s">
        <v>69</v>
      </c>
      <c r="F106" s="1" t="s">
        <v>50</v>
      </c>
      <c r="G106">
        <v>3529</v>
      </c>
      <c r="H106" s="8"/>
      <c r="I106" s="4">
        <v>111</v>
      </c>
      <c r="J106" s="4">
        <v>58</v>
      </c>
      <c r="K106" s="8"/>
      <c r="L106" s="4">
        <v>82</v>
      </c>
      <c r="M106" s="4">
        <v>67</v>
      </c>
      <c r="N106" s="4">
        <v>92</v>
      </c>
      <c r="O106" s="4">
        <v>59</v>
      </c>
      <c r="P106" s="4">
        <v>4.02282453992337</v>
      </c>
      <c r="Q106" s="4">
        <v>88.161851875912006</v>
      </c>
      <c r="R106" s="8"/>
      <c r="S106" s="7" t="s">
        <v>33</v>
      </c>
      <c r="T106" s="4">
        <v>200882</v>
      </c>
      <c r="U106" s="4">
        <v>836619</v>
      </c>
      <c r="V106" s="4">
        <v>3274</v>
      </c>
      <c r="W106" s="4">
        <v>132400</v>
      </c>
      <c r="X106" s="4">
        <v>200505</v>
      </c>
      <c r="Y106" s="4">
        <v>634000</v>
      </c>
      <c r="Z106" s="4">
        <v>130000</v>
      </c>
      <c r="AA106" s="4">
        <v>4514</v>
      </c>
      <c r="AB106" s="4">
        <v>88101</v>
      </c>
      <c r="AC106" s="4">
        <v>550016</v>
      </c>
      <c r="AD106" s="4">
        <v>2664</v>
      </c>
      <c r="AE106" s="4">
        <v>13079</v>
      </c>
      <c r="AF106" s="4">
        <v>653860</v>
      </c>
      <c r="AG106" s="6">
        <v>44780</v>
      </c>
      <c r="AH106" s="6">
        <v>40533</v>
      </c>
      <c r="AI106" s="6">
        <v>4247</v>
      </c>
      <c r="AJ106" s="6">
        <v>-45280</v>
      </c>
      <c r="AK106" s="6">
        <v>-15.8</v>
      </c>
      <c r="AL106" s="4">
        <v>1363</v>
      </c>
      <c r="AM106" s="4">
        <v>10929</v>
      </c>
      <c r="AN106" s="4">
        <v>278</v>
      </c>
      <c r="AO106" s="6">
        <v>43493</v>
      </c>
      <c r="AP106" s="6">
        <v>5810</v>
      </c>
      <c r="AQ106" s="6">
        <v>15004</v>
      </c>
      <c r="AR106" s="6">
        <v>22679</v>
      </c>
      <c r="AS106" s="6">
        <v>91.5</v>
      </c>
      <c r="AT106" s="6">
        <v>85.3</v>
      </c>
      <c r="AU106" s="6">
        <v>66.5</v>
      </c>
      <c r="AV106" s="4">
        <v>133</v>
      </c>
      <c r="AW106" s="4">
        <v>104</v>
      </c>
    </row>
    <row r="107" spans="1:49" x14ac:dyDescent="0.2">
      <c r="A107" s="1">
        <v>44620</v>
      </c>
      <c r="B107">
        <f t="shared" si="13"/>
        <v>-0.25</v>
      </c>
      <c r="C107" s="1" t="s">
        <v>57</v>
      </c>
      <c r="D107" s="1" t="s">
        <v>61</v>
      </c>
      <c r="E107" s="1" t="s">
        <v>69</v>
      </c>
      <c r="F107" s="1" t="s">
        <v>50</v>
      </c>
      <c r="G107">
        <v>3497</v>
      </c>
      <c r="H107" s="8"/>
      <c r="I107" s="4">
        <v>109</v>
      </c>
      <c r="J107" s="4">
        <v>63</v>
      </c>
      <c r="K107" s="8"/>
      <c r="L107" s="4">
        <v>103</v>
      </c>
      <c r="M107" s="4">
        <v>76</v>
      </c>
      <c r="N107" s="4">
        <v>96</v>
      </c>
      <c r="O107" s="4">
        <v>64</v>
      </c>
      <c r="P107" s="4">
        <v>60.480295533432397</v>
      </c>
      <c r="Q107" s="4">
        <v>78.362874588111296</v>
      </c>
      <c r="R107" s="8"/>
      <c r="S107" s="7" t="s">
        <v>34</v>
      </c>
      <c r="T107" s="4">
        <v>159872</v>
      </c>
      <c r="U107" s="4">
        <v>838056</v>
      </c>
      <c r="V107" s="4">
        <v>1204</v>
      </c>
      <c r="W107" s="4">
        <v>132400</v>
      </c>
      <c r="X107" s="4">
        <v>200286</v>
      </c>
      <c r="Y107" s="4">
        <v>637500</v>
      </c>
      <c r="Z107" s="4">
        <v>130000</v>
      </c>
      <c r="AA107" s="4">
        <v>2670</v>
      </c>
      <c r="AB107" s="4">
        <v>85593</v>
      </c>
      <c r="AC107" s="4">
        <v>611140</v>
      </c>
      <c r="AD107" s="4">
        <v>1150</v>
      </c>
      <c r="AE107" s="4">
        <v>11791</v>
      </c>
      <c r="AF107" s="4">
        <v>709674</v>
      </c>
      <c r="AG107" s="6">
        <v>44633</v>
      </c>
      <c r="AH107" s="6">
        <v>40320</v>
      </c>
      <c r="AI107" s="6">
        <v>4313</v>
      </c>
      <c r="AJ107" s="6">
        <v>-64264</v>
      </c>
      <c r="AK107" s="6">
        <v>-21.5</v>
      </c>
      <c r="AL107" s="4">
        <v>1401</v>
      </c>
      <c r="AM107" s="4">
        <v>10968</v>
      </c>
      <c r="AN107" s="4">
        <v>290</v>
      </c>
      <c r="AO107" s="6">
        <v>43518</v>
      </c>
      <c r="AP107" s="6">
        <v>5788</v>
      </c>
      <c r="AQ107" s="6">
        <v>14302</v>
      </c>
      <c r="AR107" s="6">
        <v>23428</v>
      </c>
      <c r="AS107" s="6">
        <v>91.5</v>
      </c>
      <c r="AT107" s="6">
        <v>85.2</v>
      </c>
      <c r="AU107" s="6">
        <v>66.5</v>
      </c>
      <c r="AV107" s="4">
        <v>145</v>
      </c>
      <c r="AW107" s="4">
        <v>105</v>
      </c>
    </row>
    <row r="108" spans="1:49" x14ac:dyDescent="0.2">
      <c r="A108" s="1">
        <v>44619</v>
      </c>
      <c r="B108">
        <v>-4.46</v>
      </c>
      <c r="C108" s="1" t="s">
        <v>57</v>
      </c>
      <c r="D108" s="1" t="s">
        <v>61</v>
      </c>
      <c r="E108" s="1" t="s">
        <v>69</v>
      </c>
      <c r="F108" s="1" t="s">
        <v>50</v>
      </c>
      <c r="G108">
        <v>3458</v>
      </c>
      <c r="H108" s="8"/>
      <c r="I108" s="4">
        <v>100</v>
      </c>
      <c r="J108" s="4">
        <v>93</v>
      </c>
      <c r="K108" s="8"/>
      <c r="L108" s="4">
        <v>128</v>
      </c>
      <c r="M108" s="4">
        <v>84</v>
      </c>
      <c r="N108" s="4">
        <v>91</v>
      </c>
      <c r="O108" s="4">
        <v>80</v>
      </c>
      <c r="P108" s="4">
        <v>91.678479817775099</v>
      </c>
      <c r="Q108" s="4">
        <v>90.553326337971001</v>
      </c>
      <c r="R108" s="8"/>
      <c r="S108" s="7" t="s">
        <v>34</v>
      </c>
      <c r="T108" s="4">
        <v>122933</v>
      </c>
      <c r="U108" s="4">
        <v>838412</v>
      </c>
      <c r="V108" s="4">
        <v>148</v>
      </c>
      <c r="W108" s="4">
        <v>132400</v>
      </c>
      <c r="X108" s="4">
        <v>200505</v>
      </c>
      <c r="Y108" s="4">
        <v>637500</v>
      </c>
      <c r="Z108" s="4">
        <v>130000</v>
      </c>
      <c r="AA108" s="4">
        <v>2807</v>
      </c>
      <c r="AB108" s="4">
        <v>56775</v>
      </c>
      <c r="AC108" s="4">
        <v>463374</v>
      </c>
      <c r="AD108" s="4">
        <v>148</v>
      </c>
      <c r="AE108" s="4">
        <v>15016</v>
      </c>
      <c r="AF108" s="4">
        <v>535313</v>
      </c>
      <c r="AG108" s="6">
        <v>31360</v>
      </c>
      <c r="AH108" s="6">
        <v>28533</v>
      </c>
      <c r="AI108" s="6">
        <v>2827</v>
      </c>
      <c r="AJ108" s="6">
        <v>-73351</v>
      </c>
      <c r="AK108" s="6">
        <v>-23.6999999999999</v>
      </c>
      <c r="AL108" s="4">
        <v>1100</v>
      </c>
      <c r="AM108" s="4">
        <v>10740</v>
      </c>
      <c r="AN108" s="4">
        <v>271</v>
      </c>
      <c r="AO108" s="6">
        <v>31157</v>
      </c>
      <c r="AP108" s="6">
        <v>4841</v>
      </c>
      <c r="AQ108" s="6">
        <v>10606</v>
      </c>
      <c r="AR108" s="6">
        <v>15710</v>
      </c>
      <c r="AS108" s="6">
        <v>91.5</v>
      </c>
      <c r="AT108" s="6">
        <v>85.2</v>
      </c>
      <c r="AU108" s="6">
        <v>66.400000000000006</v>
      </c>
      <c r="AV108" s="4">
        <v>136</v>
      </c>
      <c r="AW108" s="4">
        <v>117</v>
      </c>
    </row>
    <row r="109" spans="1:49" x14ac:dyDescent="0.2">
      <c r="A109" s="1">
        <v>44618</v>
      </c>
      <c r="B109">
        <f>B108</f>
        <v>-4.46</v>
      </c>
      <c r="C109" s="1" t="s">
        <v>57</v>
      </c>
      <c r="D109" s="1" t="s">
        <v>61</v>
      </c>
      <c r="E109" s="1" t="s">
        <v>69</v>
      </c>
      <c r="F109" s="1" t="s">
        <v>50</v>
      </c>
      <c r="G109">
        <v>3435</v>
      </c>
      <c r="H109" s="8"/>
      <c r="I109" s="4">
        <v>101</v>
      </c>
      <c r="J109" s="4">
        <v>91</v>
      </c>
      <c r="K109" s="8"/>
      <c r="L109" s="4">
        <v>101</v>
      </c>
      <c r="M109" s="4">
        <v>81</v>
      </c>
      <c r="N109" s="4">
        <v>93</v>
      </c>
      <c r="O109" s="4">
        <v>79</v>
      </c>
      <c r="P109" s="4">
        <v>80.996231226477406</v>
      </c>
      <c r="Q109" s="4">
        <v>84.540038244948903</v>
      </c>
      <c r="R109" s="8"/>
      <c r="S109" s="7" t="s">
        <v>34</v>
      </c>
      <c r="T109" s="4">
        <v>147150</v>
      </c>
      <c r="U109" s="4">
        <v>841605</v>
      </c>
      <c r="V109" s="4">
        <v>3022</v>
      </c>
      <c r="W109" s="4">
        <v>132400</v>
      </c>
      <c r="X109" s="4">
        <v>200505</v>
      </c>
      <c r="Y109" s="4">
        <v>637500</v>
      </c>
      <c r="Z109" s="4">
        <v>130000</v>
      </c>
      <c r="AA109" s="4">
        <v>6000</v>
      </c>
      <c r="AB109" s="4">
        <v>58127</v>
      </c>
      <c r="AC109" s="4">
        <v>414432</v>
      </c>
      <c r="AD109" s="4">
        <v>3022</v>
      </c>
      <c r="AE109" s="4">
        <v>16537</v>
      </c>
      <c r="AF109" s="4">
        <v>492118</v>
      </c>
      <c r="AG109" s="6">
        <v>25088</v>
      </c>
      <c r="AH109" s="6">
        <v>22952</v>
      </c>
      <c r="AI109" s="6">
        <v>2136</v>
      </c>
      <c r="AJ109" s="6">
        <v>-71086</v>
      </c>
      <c r="AK109" s="6">
        <v>-22.6999999999999</v>
      </c>
      <c r="AL109" s="4">
        <v>1084</v>
      </c>
      <c r="AM109" s="4">
        <v>10585</v>
      </c>
      <c r="AN109" s="4">
        <v>255</v>
      </c>
      <c r="AO109" s="6">
        <v>57591</v>
      </c>
      <c r="AP109" s="6">
        <v>9471</v>
      </c>
      <c r="AQ109" s="6">
        <v>19652</v>
      </c>
      <c r="AR109" s="6">
        <v>28468</v>
      </c>
      <c r="AS109" s="6">
        <v>91.5</v>
      </c>
      <c r="AT109" s="6">
        <v>85.2</v>
      </c>
      <c r="AU109" s="6">
        <v>66.400000000000006</v>
      </c>
      <c r="AV109" s="4">
        <v>135</v>
      </c>
      <c r="AW109" s="4">
        <v>99</v>
      </c>
    </row>
    <row r="110" spans="1:49" x14ac:dyDescent="0.2">
      <c r="A110" s="1">
        <v>44617</v>
      </c>
      <c r="B110">
        <f t="shared" ref="B110:B114" si="14">B109</f>
        <v>-4.46</v>
      </c>
      <c r="C110" s="1" t="s">
        <v>57</v>
      </c>
      <c r="D110" s="1" t="s">
        <v>61</v>
      </c>
      <c r="E110" s="1" t="s">
        <v>69</v>
      </c>
      <c r="F110" s="1" t="s">
        <v>50</v>
      </c>
      <c r="G110">
        <v>3396</v>
      </c>
      <c r="H110" s="8"/>
      <c r="I110" s="4">
        <v>109</v>
      </c>
      <c r="J110" s="4">
        <v>65</v>
      </c>
      <c r="K110" s="8"/>
      <c r="L110" s="4">
        <v>102</v>
      </c>
      <c r="M110" s="4">
        <v>76</v>
      </c>
      <c r="N110" s="4">
        <v>97</v>
      </c>
      <c r="O110" s="4">
        <v>67</v>
      </c>
      <c r="P110" s="4">
        <v>65.114596608798607</v>
      </c>
      <c r="Q110" s="4">
        <v>80.395265084117497</v>
      </c>
      <c r="R110" s="8"/>
      <c r="S110" s="7" t="s">
        <v>34</v>
      </c>
      <c r="T110" s="4">
        <v>163992</v>
      </c>
      <c r="U110" s="4">
        <v>828005</v>
      </c>
      <c r="V110" s="4">
        <v>5510</v>
      </c>
      <c r="W110" s="4">
        <v>132400</v>
      </c>
      <c r="X110" s="4">
        <v>200505</v>
      </c>
      <c r="Y110" s="4">
        <v>627500</v>
      </c>
      <c r="Z110" s="4">
        <v>130000</v>
      </c>
      <c r="AA110" s="4">
        <v>2400</v>
      </c>
      <c r="AB110" s="4">
        <v>71189</v>
      </c>
      <c r="AC110" s="4">
        <v>525019</v>
      </c>
      <c r="AD110" s="4">
        <v>4422</v>
      </c>
      <c r="AE110" s="4">
        <v>15244</v>
      </c>
      <c r="AF110" s="4">
        <v>615874</v>
      </c>
      <c r="AG110" s="6">
        <v>27838</v>
      </c>
      <c r="AH110" s="6">
        <v>25290</v>
      </c>
      <c r="AI110" s="6">
        <v>2548</v>
      </c>
      <c r="AJ110" s="6">
        <v>-64316</v>
      </c>
      <c r="AK110" s="6">
        <v>-20.399999999999899</v>
      </c>
      <c r="AL110" s="4">
        <v>1106</v>
      </c>
      <c r="AM110" s="4">
        <v>10863</v>
      </c>
      <c r="AN110" s="4">
        <v>271</v>
      </c>
      <c r="AO110" s="6">
        <v>53694</v>
      </c>
      <c r="AP110" s="6">
        <v>8109</v>
      </c>
      <c r="AQ110" s="6">
        <v>16370</v>
      </c>
      <c r="AR110" s="6">
        <v>29215</v>
      </c>
      <c r="AS110" s="6">
        <v>91.5</v>
      </c>
      <c r="AT110" s="6">
        <v>85.2</v>
      </c>
      <c r="AU110" s="6">
        <v>66.400000000000006</v>
      </c>
      <c r="AV110" s="4">
        <v>146</v>
      </c>
      <c r="AW110" s="4">
        <v>119</v>
      </c>
    </row>
    <row r="111" spans="1:49" x14ac:dyDescent="0.2">
      <c r="A111" s="1">
        <v>44616</v>
      </c>
      <c r="B111">
        <f t="shared" si="14"/>
        <v>-4.46</v>
      </c>
      <c r="C111" s="1" t="s">
        <v>57</v>
      </c>
      <c r="D111" s="1" t="s">
        <v>61</v>
      </c>
      <c r="E111" s="1" t="s">
        <v>69</v>
      </c>
      <c r="F111" s="1" t="s">
        <v>50</v>
      </c>
      <c r="G111">
        <v>3394</v>
      </c>
      <c r="H111" s="8"/>
      <c r="I111" s="4">
        <v>110</v>
      </c>
      <c r="J111" s="4">
        <v>64</v>
      </c>
      <c r="K111" s="8"/>
      <c r="L111" s="4">
        <v>88</v>
      </c>
      <c r="M111" s="4">
        <v>75</v>
      </c>
      <c r="N111" s="4">
        <v>92</v>
      </c>
      <c r="O111" s="4">
        <v>65</v>
      </c>
      <c r="P111" s="4">
        <v>68.422892087856198</v>
      </c>
      <c r="Q111" s="4">
        <v>77.714005099514296</v>
      </c>
      <c r="R111" s="8"/>
      <c r="S111" s="7" t="s">
        <v>34</v>
      </c>
      <c r="T111" s="4">
        <v>191576</v>
      </c>
      <c r="U111" s="4">
        <v>841989</v>
      </c>
      <c r="V111" s="4">
        <v>4578</v>
      </c>
      <c r="W111" s="4">
        <v>132400</v>
      </c>
      <c r="X111" s="4">
        <v>200297</v>
      </c>
      <c r="Y111" s="4">
        <v>637500</v>
      </c>
      <c r="Z111" s="4">
        <v>130000</v>
      </c>
      <c r="AA111" s="4">
        <v>6592</v>
      </c>
      <c r="AB111" s="4">
        <v>82972</v>
      </c>
      <c r="AC111" s="4">
        <v>586857</v>
      </c>
      <c r="AD111" s="4">
        <v>3881</v>
      </c>
      <c r="AE111" s="4">
        <v>16300</v>
      </c>
      <c r="AF111" s="4">
        <v>690010</v>
      </c>
      <c r="AG111" s="6">
        <v>30617</v>
      </c>
      <c r="AH111" s="6">
        <v>27728</v>
      </c>
      <c r="AI111" s="6">
        <v>2889</v>
      </c>
      <c r="AJ111" s="6">
        <v>-70239</v>
      </c>
      <c r="AK111" s="6">
        <v>-21.5</v>
      </c>
      <c r="AL111" s="4">
        <v>1223</v>
      </c>
      <c r="AM111" s="4">
        <v>10997</v>
      </c>
      <c r="AN111" s="4">
        <v>289</v>
      </c>
      <c r="AO111" s="6">
        <v>49977</v>
      </c>
      <c r="AP111" s="6">
        <v>7963</v>
      </c>
      <c r="AQ111" s="6">
        <v>15838</v>
      </c>
      <c r="AR111" s="6">
        <v>26176</v>
      </c>
      <c r="AS111" s="6">
        <v>91.5</v>
      </c>
      <c r="AT111" s="6">
        <v>85.1</v>
      </c>
      <c r="AU111" s="6">
        <v>66.3</v>
      </c>
      <c r="AV111" s="4">
        <v>169</v>
      </c>
      <c r="AW111" s="4">
        <v>123</v>
      </c>
    </row>
    <row r="112" spans="1:49" x14ac:dyDescent="0.2">
      <c r="A112" s="1">
        <v>44615</v>
      </c>
      <c r="B112">
        <f t="shared" si="14"/>
        <v>-4.46</v>
      </c>
      <c r="C112" s="1" t="s">
        <v>57</v>
      </c>
      <c r="D112" s="1" t="s">
        <v>61</v>
      </c>
      <c r="E112" s="1" t="s">
        <v>69</v>
      </c>
      <c r="F112" s="1" t="s">
        <v>50</v>
      </c>
      <c r="G112">
        <v>3483</v>
      </c>
      <c r="H112" s="8"/>
      <c r="I112" s="4">
        <v>109</v>
      </c>
      <c r="J112" s="4">
        <v>64</v>
      </c>
      <c r="K112" s="8"/>
      <c r="L112" s="4">
        <v>102</v>
      </c>
      <c r="M112" s="4">
        <v>75</v>
      </c>
      <c r="N112" s="4">
        <v>94</v>
      </c>
      <c r="O112" s="4">
        <v>65</v>
      </c>
      <c r="P112" s="4">
        <v>65.671275263077902</v>
      </c>
      <c r="Q112" s="4">
        <v>78.157029156633996</v>
      </c>
      <c r="R112" s="8"/>
      <c r="S112" s="7" t="s">
        <v>34</v>
      </c>
      <c r="T112" s="4">
        <v>211980</v>
      </c>
      <c r="U112" s="4">
        <v>844720</v>
      </c>
      <c r="V112" s="4">
        <v>5948</v>
      </c>
      <c r="W112" s="4">
        <v>132400</v>
      </c>
      <c r="X112" s="4">
        <v>200297</v>
      </c>
      <c r="Y112" s="4">
        <v>637500</v>
      </c>
      <c r="Z112" s="4">
        <v>130000</v>
      </c>
      <c r="AA112" s="4">
        <v>9323</v>
      </c>
      <c r="AB112" s="4">
        <v>78414</v>
      </c>
      <c r="AC112" s="4">
        <v>654564</v>
      </c>
      <c r="AD112" s="4">
        <v>4408</v>
      </c>
      <c r="AE112" s="4">
        <v>23055</v>
      </c>
      <c r="AF112" s="4">
        <v>760441</v>
      </c>
      <c r="AG112" s="6">
        <v>36462</v>
      </c>
      <c r="AH112" s="6">
        <v>33023</v>
      </c>
      <c r="AI112" s="6">
        <v>3439</v>
      </c>
      <c r="AJ112" s="6">
        <v>-63753</v>
      </c>
      <c r="AK112" s="6">
        <v>-19</v>
      </c>
      <c r="AL112" s="4">
        <v>1244</v>
      </c>
      <c r="AM112" s="4">
        <v>11288</v>
      </c>
      <c r="AN112" s="4">
        <v>304</v>
      </c>
      <c r="AO112" s="6">
        <v>56718</v>
      </c>
      <c r="AP112" s="6">
        <v>8985</v>
      </c>
      <c r="AQ112" s="6">
        <v>17951</v>
      </c>
      <c r="AR112" s="6">
        <v>29782</v>
      </c>
      <c r="AS112" s="6">
        <v>91.5</v>
      </c>
      <c r="AT112" s="6">
        <v>85.1</v>
      </c>
      <c r="AU112" s="6">
        <v>66.3</v>
      </c>
      <c r="AV112" s="4">
        <v>146</v>
      </c>
      <c r="AW112" s="4">
        <v>116</v>
      </c>
    </row>
    <row r="113" spans="1:49" x14ac:dyDescent="0.2">
      <c r="A113" s="1">
        <v>44614</v>
      </c>
      <c r="B113">
        <f t="shared" si="14"/>
        <v>-4.46</v>
      </c>
      <c r="C113" s="1" t="s">
        <v>57</v>
      </c>
      <c r="D113" s="1" t="s">
        <v>61</v>
      </c>
      <c r="E113" s="1" t="s">
        <v>69</v>
      </c>
      <c r="F113" s="1" t="s">
        <v>50</v>
      </c>
      <c r="G113">
        <v>3345</v>
      </c>
      <c r="H113" s="8"/>
      <c r="I113" s="4">
        <v>109</v>
      </c>
      <c r="J113" s="4">
        <v>62</v>
      </c>
      <c r="K113" s="8"/>
      <c r="L113" s="4">
        <v>98</v>
      </c>
      <c r="M113" s="4">
        <v>75</v>
      </c>
      <c r="N113" s="4">
        <v>94</v>
      </c>
      <c r="O113" s="4">
        <v>65</v>
      </c>
      <c r="P113" s="4">
        <v>64.061791993161705</v>
      </c>
      <c r="Q113" s="4">
        <v>77.587768349418198</v>
      </c>
      <c r="R113" s="8"/>
      <c r="S113" s="7" t="s">
        <v>34</v>
      </c>
      <c r="T113" s="4">
        <v>221062</v>
      </c>
      <c r="U113" s="4">
        <v>841167</v>
      </c>
      <c r="V113" s="4">
        <v>7611</v>
      </c>
      <c r="W113" s="4">
        <v>132400</v>
      </c>
      <c r="X113" s="4">
        <v>200297</v>
      </c>
      <c r="Y113" s="4">
        <v>637500</v>
      </c>
      <c r="Z113" s="4">
        <v>130000</v>
      </c>
      <c r="AA113" s="4">
        <v>5770</v>
      </c>
      <c r="AB113" s="4">
        <v>95228</v>
      </c>
      <c r="AC113" s="4">
        <v>622851</v>
      </c>
      <c r="AD113" s="4">
        <v>5707</v>
      </c>
      <c r="AE113" s="4">
        <v>15657</v>
      </c>
      <c r="AF113" s="4">
        <v>739443</v>
      </c>
      <c r="AG113" s="6">
        <v>39144</v>
      </c>
      <c r="AH113" s="6">
        <v>35383</v>
      </c>
      <c r="AI113" s="6">
        <v>3761</v>
      </c>
      <c r="AJ113" s="6">
        <v>-61426</v>
      </c>
      <c r="AK113" s="6">
        <v>-17.6999999999999</v>
      </c>
      <c r="AL113" s="4">
        <v>1179</v>
      </c>
      <c r="AM113" s="4">
        <v>11330</v>
      </c>
      <c r="AN113" s="4">
        <v>312</v>
      </c>
      <c r="AO113" s="6">
        <v>56800</v>
      </c>
      <c r="AP113" s="6">
        <v>8291</v>
      </c>
      <c r="AQ113" s="6">
        <v>17904</v>
      </c>
      <c r="AR113" s="6">
        <v>30605</v>
      </c>
      <c r="AS113" s="6">
        <v>91.4</v>
      </c>
      <c r="AT113" s="6">
        <v>85.1</v>
      </c>
      <c r="AU113" s="6">
        <v>66.2</v>
      </c>
      <c r="AV113" s="4">
        <v>141</v>
      </c>
      <c r="AW113" s="4">
        <v>116</v>
      </c>
    </row>
    <row r="114" spans="1:49" x14ac:dyDescent="0.2">
      <c r="A114" s="1">
        <v>44613</v>
      </c>
      <c r="B114">
        <f t="shared" si="14"/>
        <v>-4.46</v>
      </c>
      <c r="C114" s="1" t="s">
        <v>57</v>
      </c>
      <c r="D114" s="1" t="s">
        <v>61</v>
      </c>
      <c r="E114" s="1" t="s">
        <v>69</v>
      </c>
      <c r="F114" s="1" t="s">
        <v>50</v>
      </c>
      <c r="G114">
        <v>3341</v>
      </c>
      <c r="H114" s="8"/>
      <c r="I114" s="4">
        <v>111</v>
      </c>
      <c r="J114" s="4">
        <v>60</v>
      </c>
      <c r="K114" s="8"/>
      <c r="L114" s="4">
        <v>97</v>
      </c>
      <c r="M114" s="4">
        <v>74</v>
      </c>
      <c r="N114" s="4">
        <v>94</v>
      </c>
      <c r="O114" s="4">
        <v>59</v>
      </c>
      <c r="P114" s="4">
        <v>56.754008984967697</v>
      </c>
      <c r="Q114" s="4">
        <v>74.721098330137593</v>
      </c>
      <c r="R114" s="8"/>
      <c r="S114" s="7" t="s">
        <v>34</v>
      </c>
      <c r="T114" s="4">
        <v>180797</v>
      </c>
      <c r="U114" s="4">
        <v>835119</v>
      </c>
      <c r="V114" s="4">
        <v>3395</v>
      </c>
      <c r="W114" s="4">
        <v>132400</v>
      </c>
      <c r="X114" s="4">
        <v>200297</v>
      </c>
      <c r="Y114" s="4">
        <v>633400</v>
      </c>
      <c r="Z114" s="4">
        <v>130000</v>
      </c>
      <c r="AA114" s="4">
        <v>3822</v>
      </c>
      <c r="AB114" s="4">
        <v>97295</v>
      </c>
      <c r="AC114" s="4">
        <v>720585</v>
      </c>
      <c r="AD114" s="4">
        <v>2661</v>
      </c>
      <c r="AE114" s="4">
        <v>13602</v>
      </c>
      <c r="AF114" s="4">
        <v>834143</v>
      </c>
      <c r="AG114" s="6">
        <v>45116</v>
      </c>
      <c r="AH114" s="6">
        <v>40826</v>
      </c>
      <c r="AI114" s="6">
        <v>4290</v>
      </c>
      <c r="AJ114" s="6">
        <v>-65210</v>
      </c>
      <c r="AK114" s="6">
        <v>-17.899999999999899</v>
      </c>
      <c r="AL114" s="4">
        <v>1239</v>
      </c>
      <c r="AM114" s="4">
        <v>11617</v>
      </c>
      <c r="AN114" s="4">
        <v>324</v>
      </c>
      <c r="AO114" s="6">
        <v>52573</v>
      </c>
      <c r="AP114" s="6">
        <v>7411</v>
      </c>
      <c r="AQ114" s="6">
        <v>16008</v>
      </c>
      <c r="AR114" s="6">
        <v>29154</v>
      </c>
      <c r="AS114" s="6">
        <v>91.4</v>
      </c>
      <c r="AT114" s="6">
        <v>85</v>
      </c>
      <c r="AU114" s="6">
        <v>66.2</v>
      </c>
      <c r="AV114" s="4">
        <v>145</v>
      </c>
      <c r="AW114" s="4">
        <v>105</v>
      </c>
    </row>
    <row r="115" spans="1:49" x14ac:dyDescent="0.2">
      <c r="A115" s="1">
        <v>44612</v>
      </c>
      <c r="B115">
        <v>-4.2300000000000004</v>
      </c>
      <c r="C115" s="1" t="s">
        <v>57</v>
      </c>
      <c r="D115" s="1" t="s">
        <v>61</v>
      </c>
      <c r="E115" s="1" t="s">
        <v>69</v>
      </c>
      <c r="F115" s="1" t="s">
        <v>50</v>
      </c>
      <c r="G115">
        <v>3314</v>
      </c>
      <c r="H115" s="8"/>
      <c r="I115" s="4">
        <v>103</v>
      </c>
      <c r="J115" s="4">
        <v>89</v>
      </c>
      <c r="K115" s="8"/>
      <c r="L115" s="4">
        <v>71</v>
      </c>
      <c r="M115" s="4">
        <v>71</v>
      </c>
      <c r="N115" s="4">
        <v>84</v>
      </c>
      <c r="O115" s="4">
        <v>67</v>
      </c>
      <c r="P115" s="4">
        <v>73.746567893127605</v>
      </c>
      <c r="Q115" s="4">
        <v>78.679931468583902</v>
      </c>
      <c r="R115" s="8"/>
      <c r="S115" s="7" t="s">
        <v>34</v>
      </c>
      <c r="T115" s="4">
        <v>148836</v>
      </c>
      <c r="U115" s="4">
        <v>831402</v>
      </c>
      <c r="V115" s="4">
        <v>3496</v>
      </c>
      <c r="W115" s="4">
        <v>132400</v>
      </c>
      <c r="X115" s="4">
        <v>200297</v>
      </c>
      <c r="Y115" s="4">
        <v>630380</v>
      </c>
      <c r="Z115" s="4">
        <v>130000</v>
      </c>
      <c r="AA115" s="4">
        <v>3125</v>
      </c>
      <c r="AB115" s="4">
        <v>66370</v>
      </c>
      <c r="AC115" s="4">
        <v>625030</v>
      </c>
      <c r="AD115" s="4">
        <v>3496</v>
      </c>
      <c r="AE115" s="4">
        <v>13236</v>
      </c>
      <c r="AF115" s="4">
        <v>708132</v>
      </c>
      <c r="AG115" s="6">
        <v>37681</v>
      </c>
      <c r="AH115" s="6">
        <v>34311</v>
      </c>
      <c r="AI115" s="6">
        <v>3370</v>
      </c>
      <c r="AJ115" s="6">
        <v>-77415</v>
      </c>
      <c r="AK115" s="6">
        <v>-20</v>
      </c>
      <c r="AL115" s="4">
        <v>1137</v>
      </c>
      <c r="AM115" s="4">
        <v>11424</v>
      </c>
      <c r="AN115" s="4">
        <v>334</v>
      </c>
      <c r="AO115" s="6">
        <v>34636</v>
      </c>
      <c r="AP115" s="6">
        <v>5470</v>
      </c>
      <c r="AQ115" s="6">
        <v>10564</v>
      </c>
      <c r="AR115" s="6">
        <v>18602</v>
      </c>
      <c r="AS115" s="6">
        <v>91.4</v>
      </c>
      <c r="AT115" s="6">
        <v>85</v>
      </c>
      <c r="AU115" s="6">
        <v>66.099999999999994</v>
      </c>
      <c r="AV115" s="4">
        <v>165</v>
      </c>
      <c r="AW115" s="4">
        <v>123</v>
      </c>
    </row>
    <row r="116" spans="1:49" x14ac:dyDescent="0.2">
      <c r="A116" s="1">
        <v>44611</v>
      </c>
      <c r="B116">
        <f>B115</f>
        <v>-4.2300000000000004</v>
      </c>
      <c r="C116" s="1" t="s">
        <v>57</v>
      </c>
      <c r="D116" s="1" t="s">
        <v>61</v>
      </c>
      <c r="E116" s="1" t="s">
        <v>69</v>
      </c>
      <c r="F116" s="1" t="s">
        <v>50</v>
      </c>
      <c r="G116">
        <v>3296</v>
      </c>
      <c r="H116" s="4">
        <v>94.83</v>
      </c>
      <c r="I116" s="4">
        <v>104</v>
      </c>
      <c r="J116" s="4">
        <v>87</v>
      </c>
      <c r="K116" s="8"/>
      <c r="L116" s="4">
        <v>67</v>
      </c>
      <c r="M116" s="4">
        <v>71</v>
      </c>
      <c r="N116" s="4">
        <v>88</v>
      </c>
      <c r="O116" s="4">
        <v>70</v>
      </c>
      <c r="P116" s="4">
        <v>71.936946825196003</v>
      </c>
      <c r="Q116" s="4">
        <v>75.830071269919998</v>
      </c>
      <c r="R116" s="8"/>
      <c r="S116" s="7" t="s">
        <v>34</v>
      </c>
      <c r="T116" s="4">
        <v>154842</v>
      </c>
      <c r="U116" s="4">
        <v>833849</v>
      </c>
      <c r="V116" s="4">
        <v>1888</v>
      </c>
      <c r="W116" s="4">
        <v>132400</v>
      </c>
      <c r="X116" s="4">
        <v>200297</v>
      </c>
      <c r="Y116" s="4">
        <v>630350</v>
      </c>
      <c r="Z116" s="4">
        <v>130000</v>
      </c>
      <c r="AA116" s="4">
        <v>5602</v>
      </c>
      <c r="AB116" s="4">
        <v>63241</v>
      </c>
      <c r="AC116" s="4">
        <v>497796</v>
      </c>
      <c r="AD116" s="4">
        <v>1888</v>
      </c>
      <c r="AE116" s="4">
        <v>14724</v>
      </c>
      <c r="AF116" s="4">
        <v>577649</v>
      </c>
      <c r="AG116" s="6">
        <v>34644</v>
      </c>
      <c r="AH116" s="6">
        <v>31608</v>
      </c>
      <c r="AI116" s="6">
        <v>3036</v>
      </c>
      <c r="AJ116" s="6">
        <v>-92157</v>
      </c>
      <c r="AK116" s="6">
        <v>-22.6999999999999</v>
      </c>
      <c r="AL116" s="4">
        <v>1013</v>
      </c>
      <c r="AM116" s="4">
        <v>11498</v>
      </c>
      <c r="AN116" s="4">
        <v>328</v>
      </c>
      <c r="AO116" s="6">
        <v>64425</v>
      </c>
      <c r="AP116" s="6">
        <v>10773</v>
      </c>
      <c r="AQ116" s="6">
        <v>20776</v>
      </c>
      <c r="AR116" s="6">
        <v>32876</v>
      </c>
      <c r="AS116" s="6">
        <v>91.4</v>
      </c>
      <c r="AT116" s="6">
        <v>85</v>
      </c>
      <c r="AU116" s="6">
        <v>66.099999999999994</v>
      </c>
      <c r="AV116" s="4">
        <v>156</v>
      </c>
      <c r="AW116" s="4">
        <v>121</v>
      </c>
    </row>
    <row r="117" spans="1:49" x14ac:dyDescent="0.2">
      <c r="A117" s="1">
        <v>44610</v>
      </c>
      <c r="B117">
        <f t="shared" ref="B117:B121" si="15">B116</f>
        <v>-4.2300000000000004</v>
      </c>
      <c r="C117" s="1" t="s">
        <v>57</v>
      </c>
      <c r="D117" s="1" t="s">
        <v>61</v>
      </c>
      <c r="E117" s="1" t="s">
        <v>69</v>
      </c>
      <c r="F117" s="1" t="s">
        <v>50</v>
      </c>
      <c r="G117">
        <v>3302</v>
      </c>
      <c r="H117" s="4">
        <v>59.21</v>
      </c>
      <c r="I117" s="4">
        <v>119</v>
      </c>
      <c r="J117" s="4">
        <v>50</v>
      </c>
      <c r="K117" s="8"/>
      <c r="L117" s="4">
        <v>54</v>
      </c>
      <c r="M117" s="4">
        <v>55</v>
      </c>
      <c r="N117" s="4">
        <v>77</v>
      </c>
      <c r="O117" s="4">
        <v>48</v>
      </c>
      <c r="P117" s="4">
        <v>42.561236319832602</v>
      </c>
      <c r="Q117" s="4">
        <v>56.702623768388897</v>
      </c>
      <c r="R117" s="8"/>
      <c r="S117" s="7" t="s">
        <v>34</v>
      </c>
      <c r="T117" s="4">
        <v>216118</v>
      </c>
      <c r="U117" s="4">
        <v>839167</v>
      </c>
      <c r="V117" s="4">
        <v>7260</v>
      </c>
      <c r="W117" s="4">
        <v>132400</v>
      </c>
      <c r="X117" s="4">
        <v>200297</v>
      </c>
      <c r="Y117" s="4">
        <v>630330</v>
      </c>
      <c r="Z117" s="4">
        <v>130000</v>
      </c>
      <c r="AA117" s="4">
        <v>10940</v>
      </c>
      <c r="AB117" s="4">
        <v>83181</v>
      </c>
      <c r="AC117" s="4">
        <v>594900</v>
      </c>
      <c r="AD117" s="4">
        <v>6220</v>
      </c>
      <c r="AE117" s="4">
        <v>23575</v>
      </c>
      <c r="AF117" s="4">
        <v>707876</v>
      </c>
      <c r="AG117" s="6">
        <v>33236</v>
      </c>
      <c r="AH117" s="6">
        <v>30221</v>
      </c>
      <c r="AI117" s="6">
        <v>3015</v>
      </c>
      <c r="AJ117" s="6">
        <v>-104242</v>
      </c>
      <c r="AK117" s="6">
        <v>-24.8</v>
      </c>
      <c r="AL117" s="4">
        <v>1100</v>
      </c>
      <c r="AM117" s="4">
        <v>11479</v>
      </c>
      <c r="AN117" s="4">
        <v>335</v>
      </c>
      <c r="AO117" s="6">
        <v>46264</v>
      </c>
      <c r="AP117" s="6">
        <v>5886</v>
      </c>
      <c r="AQ117" s="6">
        <v>14700</v>
      </c>
      <c r="AR117" s="6">
        <v>25678</v>
      </c>
      <c r="AS117" s="6">
        <v>91.4</v>
      </c>
      <c r="AT117" s="6">
        <v>85</v>
      </c>
      <c r="AU117" s="6">
        <v>66</v>
      </c>
      <c r="AV117" s="4">
        <v>157</v>
      </c>
      <c r="AW117" s="4">
        <v>126</v>
      </c>
    </row>
    <row r="118" spans="1:49" x14ac:dyDescent="0.2">
      <c r="A118" s="1">
        <v>44609</v>
      </c>
      <c r="B118">
        <f t="shared" si="15"/>
        <v>-4.2300000000000004</v>
      </c>
      <c r="C118" s="1" t="s">
        <v>57</v>
      </c>
      <c r="D118" s="1" t="s">
        <v>61</v>
      </c>
      <c r="E118" s="1" t="s">
        <v>69</v>
      </c>
      <c r="F118" s="1" t="s">
        <v>50</v>
      </c>
      <c r="G118">
        <v>3273</v>
      </c>
      <c r="H118" s="4">
        <v>89.22</v>
      </c>
      <c r="I118" s="4">
        <v>110</v>
      </c>
      <c r="J118" s="4">
        <v>55</v>
      </c>
      <c r="K118" s="8"/>
      <c r="L118" s="4">
        <v>111</v>
      </c>
      <c r="M118" s="4">
        <v>79</v>
      </c>
      <c r="N118" s="4">
        <v>95</v>
      </c>
      <c r="O118" s="4">
        <v>63</v>
      </c>
      <c r="P118" s="4">
        <v>62.785128428380602</v>
      </c>
      <c r="Q118" s="4">
        <v>67.810833033433696</v>
      </c>
      <c r="R118" s="8"/>
      <c r="S118" s="7" t="s">
        <v>34</v>
      </c>
      <c r="T118" s="4">
        <v>268714</v>
      </c>
      <c r="U118" s="4">
        <v>846763</v>
      </c>
      <c r="V118" s="4">
        <v>7155</v>
      </c>
      <c r="W118" s="4">
        <v>132400</v>
      </c>
      <c r="X118" s="4">
        <v>200295</v>
      </c>
      <c r="Y118" s="4">
        <v>630400</v>
      </c>
      <c r="Z118" s="4">
        <v>130000</v>
      </c>
      <c r="AA118" s="4">
        <v>18468</v>
      </c>
      <c r="AB118" s="4">
        <v>85269</v>
      </c>
      <c r="AC118" s="4">
        <v>782757</v>
      </c>
      <c r="AD118" s="4">
        <v>6989</v>
      </c>
      <c r="AE118" s="4">
        <v>31900</v>
      </c>
      <c r="AF118" s="4">
        <v>906915</v>
      </c>
      <c r="AG118" s="6">
        <v>44691</v>
      </c>
      <c r="AH118" s="6">
        <v>40419</v>
      </c>
      <c r="AI118" s="6">
        <v>4272</v>
      </c>
      <c r="AJ118" s="6">
        <v>-111552</v>
      </c>
      <c r="AK118" s="6">
        <v>-25.399999999999899</v>
      </c>
      <c r="AL118" s="4">
        <v>1186</v>
      </c>
      <c r="AM118" s="4">
        <v>11852</v>
      </c>
      <c r="AN118" s="4">
        <v>330</v>
      </c>
      <c r="AO118" s="6">
        <v>65210</v>
      </c>
      <c r="AP118" s="6">
        <v>9254</v>
      </c>
      <c r="AQ118" s="6">
        <v>21378</v>
      </c>
      <c r="AR118" s="6">
        <v>34578</v>
      </c>
      <c r="AS118" s="6">
        <v>91.4</v>
      </c>
      <c r="AT118" s="6">
        <v>84.9</v>
      </c>
      <c r="AU118" s="6">
        <v>66</v>
      </c>
      <c r="AV118" s="4">
        <v>160</v>
      </c>
      <c r="AW118" s="4">
        <v>124</v>
      </c>
    </row>
    <row r="119" spans="1:49" x14ac:dyDescent="0.2">
      <c r="A119" s="1">
        <v>44608</v>
      </c>
      <c r="B119">
        <f t="shared" si="15"/>
        <v>-4.2300000000000004</v>
      </c>
      <c r="C119" s="1" t="s">
        <v>57</v>
      </c>
      <c r="D119" s="1" t="s">
        <v>61</v>
      </c>
      <c r="E119" s="1" t="s">
        <v>69</v>
      </c>
      <c r="F119" s="1" t="s">
        <v>50</v>
      </c>
      <c r="G119">
        <v>3242</v>
      </c>
      <c r="H119" s="4">
        <v>90.11</v>
      </c>
      <c r="I119" s="4">
        <v>111</v>
      </c>
      <c r="J119" s="4">
        <v>54</v>
      </c>
      <c r="K119" s="8"/>
      <c r="L119" s="4">
        <v>96</v>
      </c>
      <c r="M119" s="4">
        <v>76</v>
      </c>
      <c r="N119" s="4">
        <v>91</v>
      </c>
      <c r="O119" s="4">
        <v>61</v>
      </c>
      <c r="P119" s="4">
        <v>60.226617446952197</v>
      </c>
      <c r="Q119" s="4">
        <v>66.079880453641906</v>
      </c>
      <c r="R119" s="8"/>
      <c r="S119" s="7" t="s">
        <v>34</v>
      </c>
      <c r="T119" s="4">
        <v>274456</v>
      </c>
      <c r="U119" s="4">
        <v>841223</v>
      </c>
      <c r="V119" s="4">
        <v>5627</v>
      </c>
      <c r="W119" s="4">
        <v>132400</v>
      </c>
      <c r="X119" s="4">
        <v>200295</v>
      </c>
      <c r="Y119" s="4">
        <v>629880</v>
      </c>
      <c r="Z119" s="4">
        <v>130000</v>
      </c>
      <c r="AA119" s="4">
        <v>13448</v>
      </c>
      <c r="AB119" s="4">
        <v>95729</v>
      </c>
      <c r="AC119" s="4">
        <v>850386</v>
      </c>
      <c r="AD119" s="4">
        <v>4507</v>
      </c>
      <c r="AE119" s="4">
        <v>26936</v>
      </c>
      <c r="AF119" s="4">
        <v>977558</v>
      </c>
      <c r="AG119" s="6">
        <v>51546</v>
      </c>
      <c r="AH119" s="6">
        <v>46703</v>
      </c>
      <c r="AI119" s="6">
        <v>4843</v>
      </c>
      <c r="AJ119" s="6">
        <v>-128303</v>
      </c>
      <c r="AK119" s="6">
        <v>-27.6999999999999</v>
      </c>
      <c r="AL119" s="4">
        <v>1373</v>
      </c>
      <c r="AM119" s="4">
        <v>12003</v>
      </c>
      <c r="AN119" s="4">
        <v>359</v>
      </c>
      <c r="AO119" s="6">
        <v>67808</v>
      </c>
      <c r="AP119" s="6">
        <v>10914</v>
      </c>
      <c r="AQ119" s="6">
        <v>21914</v>
      </c>
      <c r="AR119" s="6">
        <v>34980</v>
      </c>
      <c r="AS119" s="6">
        <v>91.4</v>
      </c>
      <c r="AT119" s="6">
        <v>84.9</v>
      </c>
      <c r="AU119" s="6">
        <v>65.900000000000006</v>
      </c>
      <c r="AV119" s="4">
        <v>170</v>
      </c>
      <c r="AW119" s="4">
        <v>126</v>
      </c>
    </row>
    <row r="120" spans="1:49" x14ac:dyDescent="0.2">
      <c r="A120" s="1">
        <v>44607</v>
      </c>
      <c r="B120">
        <f t="shared" si="15"/>
        <v>-4.2300000000000004</v>
      </c>
      <c r="C120" s="1" t="s">
        <v>57</v>
      </c>
      <c r="D120" s="1" t="s">
        <v>61</v>
      </c>
      <c r="E120" s="1" t="s">
        <v>69</v>
      </c>
      <c r="F120" s="1" t="s">
        <v>50</v>
      </c>
      <c r="G120">
        <v>3397</v>
      </c>
      <c r="H120" s="4">
        <v>86.17</v>
      </c>
      <c r="I120" s="4">
        <v>112</v>
      </c>
      <c r="J120" s="4">
        <v>53</v>
      </c>
      <c r="K120" s="8"/>
      <c r="L120" s="4">
        <v>78</v>
      </c>
      <c r="M120" s="4">
        <v>71</v>
      </c>
      <c r="N120" s="4">
        <v>85</v>
      </c>
      <c r="O120" s="4">
        <v>60</v>
      </c>
      <c r="P120" s="4">
        <v>58.565747601144601</v>
      </c>
      <c r="Q120" s="4">
        <v>62.517841490001103</v>
      </c>
      <c r="R120" s="8"/>
      <c r="S120" s="7" t="s">
        <v>34</v>
      </c>
      <c r="T120" s="4">
        <v>286091</v>
      </c>
      <c r="U120" s="4">
        <v>836931</v>
      </c>
      <c r="V120" s="4">
        <v>4256</v>
      </c>
      <c r="W120" s="4">
        <v>132400</v>
      </c>
      <c r="X120" s="4">
        <v>200295</v>
      </c>
      <c r="Y120" s="4">
        <v>629850</v>
      </c>
      <c r="Z120" s="4">
        <v>130000</v>
      </c>
      <c r="AA120" s="4">
        <v>9186</v>
      </c>
      <c r="AB120" s="4">
        <v>106263</v>
      </c>
      <c r="AC120" s="4">
        <v>763482</v>
      </c>
      <c r="AD120" s="4">
        <v>2651</v>
      </c>
      <c r="AE120" s="4">
        <v>18802</v>
      </c>
      <c r="AF120" s="4">
        <v>891198</v>
      </c>
      <c r="AG120" s="6">
        <v>52492</v>
      </c>
      <c r="AH120" s="6">
        <v>47522</v>
      </c>
      <c r="AI120" s="6">
        <v>4970</v>
      </c>
      <c r="AJ120" s="6">
        <v>-139643</v>
      </c>
      <c r="AK120" s="6">
        <v>-28.6999999999999</v>
      </c>
      <c r="AL120" s="4">
        <v>1372</v>
      </c>
      <c r="AM120" s="4">
        <v>12341</v>
      </c>
      <c r="AN120" s="4">
        <v>354</v>
      </c>
      <c r="AO120" s="6">
        <v>86375</v>
      </c>
      <c r="AP120" s="6">
        <v>9091</v>
      </c>
      <c r="AQ120" s="6">
        <v>19482</v>
      </c>
      <c r="AR120" s="6">
        <v>57802</v>
      </c>
      <c r="AS120" s="6">
        <v>91.3</v>
      </c>
      <c r="AT120" s="6">
        <v>84.9</v>
      </c>
      <c r="AU120" s="6">
        <v>65.900000000000006</v>
      </c>
      <c r="AV120" s="4">
        <v>174</v>
      </c>
      <c r="AW120" s="4">
        <v>131</v>
      </c>
    </row>
    <row r="121" spans="1:49" x14ac:dyDescent="0.2">
      <c r="A121" s="1">
        <v>44606</v>
      </c>
      <c r="B121">
        <f t="shared" si="15"/>
        <v>-4.2300000000000004</v>
      </c>
      <c r="C121" s="1" t="s">
        <v>57</v>
      </c>
      <c r="D121" s="1" t="s">
        <v>61</v>
      </c>
      <c r="E121" s="1" t="s">
        <v>69</v>
      </c>
      <c r="F121" s="1" t="s">
        <v>50</v>
      </c>
      <c r="G121">
        <v>3388</v>
      </c>
      <c r="H121" s="4">
        <v>159.97999999999999</v>
      </c>
      <c r="I121" s="4">
        <v>111</v>
      </c>
      <c r="J121" s="4">
        <v>53</v>
      </c>
      <c r="K121" s="8"/>
      <c r="L121" s="4">
        <v>109</v>
      </c>
      <c r="M121" s="4">
        <v>86</v>
      </c>
      <c r="N121" s="4">
        <v>99</v>
      </c>
      <c r="O121" s="4">
        <v>61</v>
      </c>
      <c r="P121" s="4">
        <v>58.985887903970998</v>
      </c>
      <c r="Q121" s="4">
        <v>67.536314573535705</v>
      </c>
      <c r="R121" s="8"/>
      <c r="S121" s="7" t="s">
        <v>34</v>
      </c>
      <c r="T121" s="4">
        <v>185674</v>
      </c>
      <c r="U121" s="4">
        <v>753483</v>
      </c>
      <c r="V121" s="4">
        <v>1636</v>
      </c>
      <c r="W121" s="4">
        <v>132400</v>
      </c>
      <c r="X121" s="4">
        <v>200295</v>
      </c>
      <c r="Y121" s="4">
        <v>552830</v>
      </c>
      <c r="Z121" s="4">
        <v>130000</v>
      </c>
      <c r="AA121" s="4">
        <v>2758</v>
      </c>
      <c r="AB121" s="4">
        <v>97626</v>
      </c>
      <c r="AC121" s="4">
        <v>792450</v>
      </c>
      <c r="AD121" s="4">
        <v>1129</v>
      </c>
      <c r="AE121" s="4">
        <v>12088</v>
      </c>
      <c r="AF121" s="4">
        <v>903293</v>
      </c>
      <c r="AG121" s="6">
        <v>54686</v>
      </c>
      <c r="AH121" s="6">
        <v>49488</v>
      </c>
      <c r="AI121" s="6">
        <v>5198</v>
      </c>
      <c r="AJ121" s="6">
        <v>-146650</v>
      </c>
      <c r="AK121" s="6">
        <v>-28.6999999999999</v>
      </c>
      <c r="AL121" s="4">
        <v>1352</v>
      </c>
      <c r="AM121" s="4">
        <v>12544</v>
      </c>
      <c r="AN121" s="4">
        <v>393</v>
      </c>
      <c r="AO121" s="6">
        <v>58329</v>
      </c>
      <c r="AP121" s="6">
        <v>8107</v>
      </c>
      <c r="AQ121" s="6">
        <v>18172</v>
      </c>
      <c r="AR121" s="6">
        <v>32050</v>
      </c>
      <c r="AS121" s="6">
        <v>91.3</v>
      </c>
      <c r="AT121" s="6">
        <v>84.8</v>
      </c>
      <c r="AU121" s="6">
        <v>65.8</v>
      </c>
      <c r="AV121" s="4">
        <v>191</v>
      </c>
      <c r="AW121" s="4">
        <v>151</v>
      </c>
    </row>
    <row r="122" spans="1:49" x14ac:dyDescent="0.2">
      <c r="A122" s="1">
        <v>44605</v>
      </c>
      <c r="B122">
        <v>-3.26</v>
      </c>
      <c r="C122" s="1" t="s">
        <v>57</v>
      </c>
      <c r="D122" s="1" t="s">
        <v>61</v>
      </c>
      <c r="E122" s="1" t="s">
        <v>69</v>
      </c>
      <c r="F122" s="1" t="s">
        <v>50</v>
      </c>
      <c r="G122">
        <v>3358</v>
      </c>
      <c r="H122" s="4">
        <v>96.41</v>
      </c>
      <c r="I122" s="4">
        <v>103</v>
      </c>
      <c r="J122" s="4">
        <v>89</v>
      </c>
      <c r="K122" s="8"/>
      <c r="L122" s="4">
        <v>73</v>
      </c>
      <c r="M122" s="4">
        <v>75</v>
      </c>
      <c r="N122" s="4">
        <v>84</v>
      </c>
      <c r="O122" s="4">
        <v>72</v>
      </c>
      <c r="P122" s="4">
        <v>80.212705122680305</v>
      </c>
      <c r="Q122" s="4">
        <v>83.483431377950197</v>
      </c>
      <c r="R122" s="8"/>
      <c r="S122" s="7" t="s">
        <v>34</v>
      </c>
      <c r="T122" s="4">
        <v>181995</v>
      </c>
      <c r="U122" s="4">
        <v>833411</v>
      </c>
      <c r="V122" s="4">
        <v>867</v>
      </c>
      <c r="W122" s="4">
        <v>132400</v>
      </c>
      <c r="X122" s="4">
        <v>200295</v>
      </c>
      <c r="Y122" s="4">
        <v>629750</v>
      </c>
      <c r="Z122" s="4">
        <v>130000</v>
      </c>
      <c r="AA122" s="4">
        <v>5766</v>
      </c>
      <c r="AB122" s="4">
        <v>72675</v>
      </c>
      <c r="AC122" s="4">
        <v>691781</v>
      </c>
      <c r="AD122" s="4">
        <v>867</v>
      </c>
      <c r="AE122" s="4">
        <v>19626</v>
      </c>
      <c r="AF122" s="4">
        <v>784949</v>
      </c>
      <c r="AG122" s="6">
        <v>41737</v>
      </c>
      <c r="AH122" s="6">
        <v>37944</v>
      </c>
      <c r="AI122" s="6">
        <v>3793</v>
      </c>
      <c r="AJ122" s="6">
        <v>-153336</v>
      </c>
      <c r="AK122" s="6">
        <v>-28.399999999999899</v>
      </c>
      <c r="AL122" s="4">
        <v>1187</v>
      </c>
      <c r="AM122" s="4">
        <v>12310</v>
      </c>
      <c r="AN122" s="4">
        <v>384</v>
      </c>
      <c r="AO122" s="6">
        <v>40117</v>
      </c>
      <c r="AP122" s="6">
        <v>7494</v>
      </c>
      <c r="AQ122" s="6">
        <v>13623</v>
      </c>
      <c r="AR122" s="6">
        <v>19000</v>
      </c>
      <c r="AS122" s="6">
        <v>91.3</v>
      </c>
      <c r="AT122" s="6">
        <v>84.8</v>
      </c>
      <c r="AU122" s="6">
        <v>65.7</v>
      </c>
      <c r="AV122" s="4">
        <v>174</v>
      </c>
      <c r="AW122" s="4">
        <v>126</v>
      </c>
    </row>
    <row r="123" spans="1:49" x14ac:dyDescent="0.2">
      <c r="A123" s="1">
        <v>44604</v>
      </c>
      <c r="B123">
        <f>B122</f>
        <v>-3.26</v>
      </c>
      <c r="C123" s="1" t="s">
        <v>57</v>
      </c>
      <c r="D123" s="1" t="s">
        <v>61</v>
      </c>
      <c r="E123" s="1" t="s">
        <v>69</v>
      </c>
      <c r="F123" s="1" t="s">
        <v>50</v>
      </c>
      <c r="G123">
        <v>3312</v>
      </c>
      <c r="H123" s="4">
        <v>97.32</v>
      </c>
      <c r="I123" s="4">
        <v>102</v>
      </c>
      <c r="J123" s="4">
        <v>89</v>
      </c>
      <c r="K123" s="8"/>
      <c r="L123" s="4">
        <v>91</v>
      </c>
      <c r="M123" s="4">
        <v>76</v>
      </c>
      <c r="N123" s="4">
        <v>91</v>
      </c>
      <c r="O123" s="4">
        <v>74</v>
      </c>
      <c r="P123" s="4">
        <v>74.543994728098895</v>
      </c>
      <c r="Q123" s="4">
        <v>81.792626379402506</v>
      </c>
      <c r="R123" s="8"/>
      <c r="S123" s="7" t="s">
        <v>34</v>
      </c>
      <c r="T123" s="4">
        <v>237365</v>
      </c>
      <c r="U123" s="4">
        <v>834624</v>
      </c>
      <c r="V123" s="4">
        <v>6283</v>
      </c>
      <c r="W123" s="4">
        <v>132400</v>
      </c>
      <c r="X123" s="4">
        <v>200295</v>
      </c>
      <c r="Y123" s="4">
        <v>629750</v>
      </c>
      <c r="Z123" s="4">
        <v>130000</v>
      </c>
      <c r="AA123" s="4">
        <v>6979</v>
      </c>
      <c r="AB123" s="4">
        <v>72007</v>
      </c>
      <c r="AC123" s="4">
        <v>626686</v>
      </c>
      <c r="AD123" s="4">
        <v>6283</v>
      </c>
      <c r="AE123" s="4">
        <v>18626</v>
      </c>
      <c r="AF123" s="4">
        <v>723602</v>
      </c>
      <c r="AG123" s="6">
        <v>37430</v>
      </c>
      <c r="AH123" s="6">
        <v>34166</v>
      </c>
      <c r="AI123" s="6">
        <v>3264</v>
      </c>
      <c r="AJ123" s="6">
        <v>-161558</v>
      </c>
      <c r="AK123" s="6">
        <v>-28.5</v>
      </c>
      <c r="AL123" s="4">
        <v>1148</v>
      </c>
      <c r="AM123" s="4">
        <v>12258</v>
      </c>
      <c r="AN123" s="4">
        <v>400</v>
      </c>
      <c r="AO123" s="6">
        <v>81592</v>
      </c>
      <c r="AP123" s="6">
        <v>15181</v>
      </c>
      <c r="AQ123" s="6">
        <v>26309</v>
      </c>
      <c r="AR123" s="6">
        <v>40102</v>
      </c>
      <c r="AS123" s="6">
        <v>91.3</v>
      </c>
      <c r="AT123" s="6">
        <v>84.8</v>
      </c>
      <c r="AU123" s="6">
        <v>65.7</v>
      </c>
      <c r="AV123" s="4">
        <v>166</v>
      </c>
      <c r="AW123" s="4">
        <v>143</v>
      </c>
    </row>
    <row r="124" spans="1:49" x14ac:dyDescent="0.2">
      <c r="A124" s="1">
        <v>44603</v>
      </c>
      <c r="B124">
        <f t="shared" ref="B124:B128" si="16">B123</f>
        <v>-3.26</v>
      </c>
      <c r="C124" s="1" t="s">
        <v>57</v>
      </c>
      <c r="D124" s="1" t="s">
        <v>61</v>
      </c>
      <c r="E124" s="1" t="s">
        <v>69</v>
      </c>
      <c r="F124" s="1" t="s">
        <v>50</v>
      </c>
      <c r="G124">
        <v>3257</v>
      </c>
      <c r="H124" s="4">
        <v>79.900000000000006</v>
      </c>
      <c r="I124" s="4">
        <v>110</v>
      </c>
      <c r="J124" s="4">
        <v>64</v>
      </c>
      <c r="K124" s="8"/>
      <c r="L124" s="4">
        <v>99</v>
      </c>
      <c r="M124" s="4">
        <v>74</v>
      </c>
      <c r="N124" s="4">
        <v>95</v>
      </c>
      <c r="O124" s="4">
        <v>64</v>
      </c>
      <c r="P124" s="4">
        <v>58.872353567003302</v>
      </c>
      <c r="Q124" s="4">
        <v>76.717347831877206</v>
      </c>
      <c r="R124" s="8"/>
      <c r="S124" s="7" t="s">
        <v>34</v>
      </c>
      <c r="T124" s="4">
        <v>287231</v>
      </c>
      <c r="U124" s="4">
        <v>833486</v>
      </c>
      <c r="V124" s="4">
        <v>5054</v>
      </c>
      <c r="W124" s="4">
        <v>132400</v>
      </c>
      <c r="X124" s="4">
        <v>200295</v>
      </c>
      <c r="Y124" s="4">
        <v>629750</v>
      </c>
      <c r="Z124" s="4">
        <v>130000</v>
      </c>
      <c r="AA124" s="4">
        <v>5841</v>
      </c>
      <c r="AB124" s="4">
        <v>90538</v>
      </c>
      <c r="AC124" s="4">
        <v>810538</v>
      </c>
      <c r="AD124" s="4">
        <v>4536</v>
      </c>
      <c r="AE124" s="4">
        <v>18876</v>
      </c>
      <c r="AF124" s="4">
        <v>924488</v>
      </c>
      <c r="AG124" s="6">
        <v>44557</v>
      </c>
      <c r="AH124" s="6">
        <v>40498</v>
      </c>
      <c r="AI124" s="6">
        <v>4059</v>
      </c>
      <c r="AJ124" s="6">
        <v>-167888</v>
      </c>
      <c r="AK124" s="6">
        <v>-28.6</v>
      </c>
      <c r="AL124" s="4">
        <v>1188</v>
      </c>
      <c r="AM124" s="4">
        <v>12597</v>
      </c>
      <c r="AN124" s="4">
        <v>416</v>
      </c>
      <c r="AO124" s="6">
        <v>79650</v>
      </c>
      <c r="AP124" s="6">
        <v>11075</v>
      </c>
      <c r="AQ124" s="6">
        <v>25884</v>
      </c>
      <c r="AR124" s="6">
        <v>42691</v>
      </c>
      <c r="AS124" s="6">
        <v>91.3</v>
      </c>
      <c r="AT124" s="6">
        <v>84.7</v>
      </c>
      <c r="AU124" s="6">
        <v>65.599999999999994</v>
      </c>
      <c r="AV124" s="4">
        <v>164</v>
      </c>
      <c r="AW124" s="4">
        <v>140</v>
      </c>
    </row>
    <row r="125" spans="1:49" x14ac:dyDescent="0.2">
      <c r="A125" s="1">
        <v>44602</v>
      </c>
      <c r="B125">
        <f t="shared" si="16"/>
        <v>-3.26</v>
      </c>
      <c r="C125" s="1" t="s">
        <v>57</v>
      </c>
      <c r="D125" s="1" t="s">
        <v>61</v>
      </c>
      <c r="E125" s="1" t="s">
        <v>69</v>
      </c>
      <c r="F125" s="1" t="s">
        <v>50</v>
      </c>
      <c r="G125">
        <v>3210</v>
      </c>
      <c r="H125" s="4">
        <v>63.56</v>
      </c>
      <c r="I125" s="4">
        <v>110</v>
      </c>
      <c r="J125" s="4">
        <v>63</v>
      </c>
      <c r="K125" s="8"/>
      <c r="L125" s="4">
        <v>98</v>
      </c>
      <c r="M125" s="4">
        <v>74</v>
      </c>
      <c r="N125" s="4">
        <v>94</v>
      </c>
      <c r="O125" s="4">
        <v>63</v>
      </c>
      <c r="P125" s="4">
        <v>61.0909321621047</v>
      </c>
      <c r="Q125" s="4">
        <v>77.018202493024006</v>
      </c>
      <c r="R125" s="8"/>
      <c r="S125" s="7" t="s">
        <v>34</v>
      </c>
      <c r="T125" s="4">
        <v>304236</v>
      </c>
      <c r="U125" s="4">
        <v>830035</v>
      </c>
      <c r="V125" s="4">
        <v>8536</v>
      </c>
      <c r="W125" s="4">
        <v>132400</v>
      </c>
      <c r="X125" s="4">
        <v>200285</v>
      </c>
      <c r="Y125" s="4">
        <v>629750</v>
      </c>
      <c r="Z125" s="4">
        <v>130000</v>
      </c>
      <c r="AA125" s="4">
        <v>2400</v>
      </c>
      <c r="AB125" s="4">
        <v>89716</v>
      </c>
      <c r="AC125" s="4">
        <v>930507</v>
      </c>
      <c r="AD125" s="4">
        <v>6771</v>
      </c>
      <c r="AE125" s="4">
        <v>18897</v>
      </c>
      <c r="AF125" s="4">
        <v>1045891</v>
      </c>
      <c r="AG125" s="6">
        <v>52279</v>
      </c>
      <c r="AH125" s="6">
        <v>47139</v>
      </c>
      <c r="AI125" s="6">
        <v>5140</v>
      </c>
      <c r="AJ125" s="6">
        <v>-170087</v>
      </c>
      <c r="AK125" s="6">
        <v>-27.899999999999899</v>
      </c>
      <c r="AL125" s="4">
        <v>1346</v>
      </c>
      <c r="AM125" s="4">
        <v>13015</v>
      </c>
      <c r="AN125" s="4">
        <v>430</v>
      </c>
      <c r="AO125" s="6">
        <v>72107</v>
      </c>
      <c r="AP125" s="6">
        <v>11614</v>
      </c>
      <c r="AQ125" s="6">
        <v>26290</v>
      </c>
      <c r="AR125" s="6">
        <v>34203</v>
      </c>
      <c r="AS125" s="6">
        <v>91.3</v>
      </c>
      <c r="AT125" s="6">
        <v>84.7</v>
      </c>
      <c r="AU125" s="6">
        <v>65.5</v>
      </c>
      <c r="AV125" s="4">
        <v>182</v>
      </c>
      <c r="AW125" s="4">
        <v>121</v>
      </c>
    </row>
    <row r="126" spans="1:49" x14ac:dyDescent="0.2">
      <c r="A126" s="1">
        <v>44601</v>
      </c>
      <c r="B126">
        <f t="shared" si="16"/>
        <v>-3.26</v>
      </c>
      <c r="C126" s="1" t="s">
        <v>57</v>
      </c>
      <c r="D126" s="1" t="s">
        <v>61</v>
      </c>
      <c r="E126" s="1" t="s">
        <v>69</v>
      </c>
      <c r="F126" s="1" t="s">
        <v>50</v>
      </c>
      <c r="G126">
        <v>3090</v>
      </c>
      <c r="H126" s="4">
        <v>75.5</v>
      </c>
      <c r="I126" s="4">
        <v>110</v>
      </c>
      <c r="J126" s="4">
        <v>63</v>
      </c>
      <c r="K126" s="8"/>
      <c r="L126" s="4">
        <v>104</v>
      </c>
      <c r="M126" s="4">
        <v>74</v>
      </c>
      <c r="N126" s="4">
        <v>93</v>
      </c>
      <c r="O126" s="4">
        <v>63</v>
      </c>
      <c r="P126" s="4">
        <v>59.949114241037101</v>
      </c>
      <c r="Q126" s="4">
        <v>76.3742904034915</v>
      </c>
      <c r="R126" s="8"/>
      <c r="S126" s="7" t="s">
        <v>34</v>
      </c>
      <c r="T126" s="4">
        <v>325211</v>
      </c>
      <c r="U126" s="4">
        <v>830035</v>
      </c>
      <c r="V126" s="4">
        <v>8230</v>
      </c>
      <c r="W126" s="4">
        <v>132400</v>
      </c>
      <c r="X126" s="4">
        <v>200285</v>
      </c>
      <c r="Y126" s="4">
        <v>629750</v>
      </c>
      <c r="Z126" s="4">
        <v>130000</v>
      </c>
      <c r="AA126" s="4">
        <v>2400</v>
      </c>
      <c r="AB126" s="4">
        <v>101481</v>
      </c>
      <c r="AC126" s="4">
        <v>1049926</v>
      </c>
      <c r="AD126" s="4">
        <v>6153</v>
      </c>
      <c r="AE126" s="4">
        <v>18853</v>
      </c>
      <c r="AF126" s="4">
        <v>1176413</v>
      </c>
      <c r="AG126" s="6">
        <v>64303</v>
      </c>
      <c r="AH126" s="6">
        <v>57950</v>
      </c>
      <c r="AI126" s="6">
        <v>6353</v>
      </c>
      <c r="AJ126" s="6">
        <v>-165313</v>
      </c>
      <c r="AK126" s="6">
        <v>-26.3</v>
      </c>
      <c r="AL126" s="4">
        <v>1426</v>
      </c>
      <c r="AM126" s="4">
        <v>13408</v>
      </c>
      <c r="AN126" s="4">
        <v>432</v>
      </c>
      <c r="AO126" s="6">
        <v>67724</v>
      </c>
      <c r="AP126" s="6">
        <v>10523</v>
      </c>
      <c r="AQ126" s="6">
        <v>24725</v>
      </c>
      <c r="AR126" s="6">
        <v>32476</v>
      </c>
      <c r="AS126" s="6">
        <v>91.2</v>
      </c>
      <c r="AT126" s="6">
        <v>84.6</v>
      </c>
      <c r="AU126" s="6">
        <v>65.5</v>
      </c>
      <c r="AV126" s="4">
        <v>182</v>
      </c>
      <c r="AW126" s="4">
        <v>142</v>
      </c>
    </row>
    <row r="127" spans="1:49" x14ac:dyDescent="0.2">
      <c r="A127" s="1">
        <v>44600</v>
      </c>
      <c r="B127">
        <f t="shared" si="16"/>
        <v>-3.26</v>
      </c>
      <c r="C127" s="1" t="s">
        <v>57</v>
      </c>
      <c r="D127" s="1" t="s">
        <v>61</v>
      </c>
      <c r="E127" s="1" t="s">
        <v>69</v>
      </c>
      <c r="F127" s="1" t="s">
        <v>50</v>
      </c>
      <c r="G127">
        <v>2983</v>
      </c>
      <c r="H127" s="4">
        <v>68.739999999999995</v>
      </c>
      <c r="I127" s="4">
        <v>110</v>
      </c>
      <c r="J127" s="4">
        <v>62</v>
      </c>
      <c r="K127" s="8"/>
      <c r="L127" s="4">
        <v>105</v>
      </c>
      <c r="M127" s="4">
        <v>73</v>
      </c>
      <c r="N127" s="4">
        <v>93</v>
      </c>
      <c r="O127" s="4">
        <v>62</v>
      </c>
      <c r="P127" s="4">
        <v>59.709808955552703</v>
      </c>
      <c r="Q127" s="4">
        <v>76.135774145696004</v>
      </c>
      <c r="R127" s="8"/>
      <c r="S127" s="7" t="s">
        <v>34</v>
      </c>
      <c r="T127" s="4">
        <v>356195</v>
      </c>
      <c r="U127" s="4">
        <v>830035</v>
      </c>
      <c r="V127" s="4">
        <v>2407</v>
      </c>
      <c r="W127" s="4">
        <v>122400</v>
      </c>
      <c r="X127" s="4">
        <v>200285</v>
      </c>
      <c r="Y127" s="4">
        <v>629750</v>
      </c>
      <c r="Z127" s="4">
        <v>120000</v>
      </c>
      <c r="AA127" s="4">
        <v>2400</v>
      </c>
      <c r="AB127" s="4">
        <v>114874</v>
      </c>
      <c r="AC127" s="4">
        <v>949132</v>
      </c>
      <c r="AD127" s="4">
        <v>995</v>
      </c>
      <c r="AE127" s="4">
        <v>13194</v>
      </c>
      <c r="AF127" s="4">
        <v>1078195</v>
      </c>
      <c r="AG127" s="6">
        <v>69624</v>
      </c>
      <c r="AH127" s="6">
        <v>62764</v>
      </c>
      <c r="AI127" s="6">
        <v>6860</v>
      </c>
      <c r="AJ127" s="6">
        <v>-161468</v>
      </c>
      <c r="AK127" s="6">
        <v>-24.899999999999899</v>
      </c>
      <c r="AL127" s="4">
        <v>1477</v>
      </c>
      <c r="AM127" s="4">
        <v>13845</v>
      </c>
      <c r="AN127" s="4">
        <v>430</v>
      </c>
      <c r="AO127" s="6">
        <v>67245</v>
      </c>
      <c r="AP127" s="6">
        <v>10804</v>
      </c>
      <c r="AQ127" s="6">
        <v>24721</v>
      </c>
      <c r="AR127" s="6">
        <v>31720</v>
      </c>
      <c r="AS127" s="6">
        <v>91.2</v>
      </c>
      <c r="AT127" s="6">
        <v>84.6</v>
      </c>
      <c r="AU127" s="6">
        <v>65.400000000000006</v>
      </c>
      <c r="AV127" s="4">
        <v>189</v>
      </c>
      <c r="AW127" s="4">
        <v>157</v>
      </c>
    </row>
    <row r="128" spans="1:49" x14ac:dyDescent="0.2">
      <c r="A128" s="1">
        <v>44599</v>
      </c>
      <c r="B128">
        <f t="shared" si="16"/>
        <v>-3.26</v>
      </c>
      <c r="C128" s="1" t="s">
        <v>57</v>
      </c>
      <c r="D128" s="1" t="s">
        <v>61</v>
      </c>
      <c r="E128" s="1" t="s">
        <v>69</v>
      </c>
      <c r="F128" s="1" t="s">
        <v>50</v>
      </c>
      <c r="G128">
        <v>2915</v>
      </c>
      <c r="H128" s="4">
        <v>60.17</v>
      </c>
      <c r="I128" s="4">
        <v>111</v>
      </c>
      <c r="J128" s="4">
        <v>62</v>
      </c>
      <c r="K128" s="8"/>
      <c r="L128" s="4">
        <v>111</v>
      </c>
      <c r="M128" s="4">
        <v>74</v>
      </c>
      <c r="N128" s="4">
        <v>94</v>
      </c>
      <c r="O128" s="4">
        <v>60</v>
      </c>
      <c r="P128" s="4">
        <v>55.316843798406801</v>
      </c>
      <c r="Q128" s="4">
        <v>75.594136103299903</v>
      </c>
      <c r="R128" s="8"/>
      <c r="S128" s="7" t="s">
        <v>34</v>
      </c>
      <c r="T128" s="4">
        <v>220186</v>
      </c>
      <c r="U128" s="4">
        <v>806035</v>
      </c>
      <c r="V128" s="4">
        <v>2314</v>
      </c>
      <c r="W128" s="4">
        <v>122400</v>
      </c>
      <c r="X128" s="4">
        <v>200285</v>
      </c>
      <c r="Y128" s="4">
        <v>605750</v>
      </c>
      <c r="Z128" s="4">
        <v>120000</v>
      </c>
      <c r="AA128" s="4">
        <v>2400</v>
      </c>
      <c r="AB128" s="4">
        <v>97053</v>
      </c>
      <c r="AC128" s="4">
        <v>1030371</v>
      </c>
      <c r="AD128" s="4">
        <v>879</v>
      </c>
      <c r="AE128" s="4">
        <v>13392</v>
      </c>
      <c r="AF128" s="4">
        <v>1141695</v>
      </c>
      <c r="AG128" s="6">
        <v>76461</v>
      </c>
      <c r="AH128" s="6">
        <v>68661</v>
      </c>
      <c r="AI128" s="6">
        <v>7800</v>
      </c>
      <c r="AJ128" s="6">
        <v>-156728</v>
      </c>
      <c r="AK128" s="6">
        <v>-23.5</v>
      </c>
      <c r="AL128" s="4">
        <v>1431</v>
      </c>
      <c r="AM128" s="4">
        <v>14094</v>
      </c>
      <c r="AN128" s="4">
        <v>443</v>
      </c>
      <c r="AO128" s="6">
        <v>65594</v>
      </c>
      <c r="AP128" s="6">
        <v>10106</v>
      </c>
      <c r="AQ128" s="6">
        <v>22861</v>
      </c>
      <c r="AR128" s="6">
        <v>32627</v>
      </c>
      <c r="AS128" s="6">
        <v>91.2</v>
      </c>
      <c r="AT128" s="6">
        <v>84.5</v>
      </c>
      <c r="AU128" s="6">
        <v>65.400000000000006</v>
      </c>
      <c r="AV128" s="4">
        <v>180</v>
      </c>
      <c r="AW128" s="4">
        <v>136</v>
      </c>
    </row>
    <row r="129" spans="1:49" x14ac:dyDescent="0.2">
      <c r="A129" s="1">
        <v>44598</v>
      </c>
      <c r="B129">
        <v>-3.3</v>
      </c>
      <c r="C129" s="1" t="s">
        <v>57</v>
      </c>
      <c r="D129" s="1" t="s">
        <v>61</v>
      </c>
      <c r="E129" s="1" t="s">
        <v>69</v>
      </c>
      <c r="F129" s="1" t="s">
        <v>50</v>
      </c>
      <c r="G129">
        <v>2902</v>
      </c>
      <c r="H129" s="4">
        <v>87.13</v>
      </c>
      <c r="I129" s="4">
        <v>103</v>
      </c>
      <c r="J129" s="4">
        <v>90</v>
      </c>
      <c r="K129" s="8"/>
      <c r="L129" s="4">
        <v>88</v>
      </c>
      <c r="M129" s="4">
        <v>75</v>
      </c>
      <c r="N129" s="4">
        <v>86</v>
      </c>
      <c r="O129" s="4">
        <v>69</v>
      </c>
      <c r="P129" s="4">
        <v>72.717079477129502</v>
      </c>
      <c r="Q129" s="4">
        <v>80.898031173046803</v>
      </c>
      <c r="R129" s="8"/>
      <c r="S129" s="7" t="s">
        <v>34</v>
      </c>
      <c r="T129" s="4">
        <v>217320</v>
      </c>
      <c r="U129" s="4">
        <v>1030035</v>
      </c>
      <c r="V129" s="4">
        <v>385</v>
      </c>
      <c r="W129" s="4">
        <v>122400</v>
      </c>
      <c r="X129" s="4">
        <v>200285</v>
      </c>
      <c r="Y129" s="4">
        <v>829750</v>
      </c>
      <c r="Z129" s="4">
        <v>120000</v>
      </c>
      <c r="AA129" s="4">
        <v>2400</v>
      </c>
      <c r="AB129" s="4">
        <v>80379</v>
      </c>
      <c r="AC129" s="4">
        <v>909733</v>
      </c>
      <c r="AD129" s="4">
        <v>385</v>
      </c>
      <c r="AE129" s="4">
        <v>16972</v>
      </c>
      <c r="AF129" s="4">
        <v>1007469</v>
      </c>
      <c r="AG129" s="6">
        <v>60535</v>
      </c>
      <c r="AH129" s="6">
        <v>54621</v>
      </c>
      <c r="AI129" s="6">
        <v>5914</v>
      </c>
      <c r="AJ129" s="6">
        <v>-150676</v>
      </c>
      <c r="AK129" s="6">
        <v>-21.8</v>
      </c>
      <c r="AL129" s="4">
        <v>1350</v>
      </c>
      <c r="AM129" s="4">
        <v>13901</v>
      </c>
      <c r="AN129" s="4">
        <v>441</v>
      </c>
      <c r="AO129" s="6">
        <v>44731</v>
      </c>
      <c r="AP129" s="6">
        <v>8321</v>
      </c>
      <c r="AQ129" s="6">
        <v>16605</v>
      </c>
      <c r="AR129" s="6">
        <v>19805</v>
      </c>
      <c r="AS129" s="6">
        <v>91.2</v>
      </c>
      <c r="AT129" s="6">
        <v>84.5</v>
      </c>
      <c r="AU129" s="6">
        <v>65.3</v>
      </c>
      <c r="AV129" s="4">
        <v>209</v>
      </c>
      <c r="AW129" s="4">
        <v>155</v>
      </c>
    </row>
    <row r="130" spans="1:49" x14ac:dyDescent="0.2">
      <c r="A130" s="1">
        <v>44597</v>
      </c>
      <c r="B130">
        <f>B129</f>
        <v>-3.3</v>
      </c>
      <c r="C130" s="1" t="s">
        <v>57</v>
      </c>
      <c r="D130" s="1" t="s">
        <v>61</v>
      </c>
      <c r="E130" s="1" t="s">
        <v>69</v>
      </c>
      <c r="F130" s="1" t="s">
        <v>50</v>
      </c>
      <c r="G130">
        <v>2873</v>
      </c>
      <c r="H130" s="4">
        <v>92.84</v>
      </c>
      <c r="I130" s="4">
        <v>103</v>
      </c>
      <c r="J130" s="4">
        <v>89</v>
      </c>
      <c r="K130" s="8"/>
      <c r="L130" s="4">
        <v>88</v>
      </c>
      <c r="M130" s="4">
        <v>76</v>
      </c>
      <c r="N130" s="4">
        <v>91</v>
      </c>
      <c r="O130" s="4">
        <v>73</v>
      </c>
      <c r="P130" s="4">
        <v>73.347575599930096</v>
      </c>
      <c r="Q130" s="4">
        <v>78.908507164826801</v>
      </c>
      <c r="R130" s="8"/>
      <c r="S130" s="7" t="s">
        <v>34</v>
      </c>
      <c r="T130" s="4">
        <v>279625</v>
      </c>
      <c r="U130" s="4">
        <v>1030035</v>
      </c>
      <c r="V130" s="4">
        <v>575</v>
      </c>
      <c r="W130" s="4">
        <v>122400</v>
      </c>
      <c r="X130" s="4">
        <v>200285</v>
      </c>
      <c r="Y130" s="4">
        <v>829750</v>
      </c>
      <c r="Z130" s="4">
        <v>120000</v>
      </c>
      <c r="AA130" s="4">
        <v>2400</v>
      </c>
      <c r="AB130" s="4">
        <v>74636</v>
      </c>
      <c r="AC130" s="4">
        <v>754446</v>
      </c>
      <c r="AD130" s="4">
        <v>575</v>
      </c>
      <c r="AE130" s="4">
        <v>15385</v>
      </c>
      <c r="AF130" s="4">
        <v>845042</v>
      </c>
      <c r="AG130" s="6">
        <v>52301</v>
      </c>
      <c r="AH130" s="6">
        <v>47537</v>
      </c>
      <c r="AI130" s="6">
        <v>4764</v>
      </c>
      <c r="AJ130" s="6">
        <v>-138428</v>
      </c>
      <c r="AK130" s="6">
        <v>-19.600000000000001</v>
      </c>
      <c r="AL130" s="4">
        <v>1245</v>
      </c>
      <c r="AM130" s="4">
        <v>13999</v>
      </c>
      <c r="AN130" s="4">
        <v>458</v>
      </c>
      <c r="AO130" s="6">
        <v>80687</v>
      </c>
      <c r="AP130" s="6">
        <v>14794</v>
      </c>
      <c r="AQ130" s="6">
        <v>28195</v>
      </c>
      <c r="AR130" s="6">
        <v>37698</v>
      </c>
      <c r="AS130" s="6">
        <v>91.2</v>
      </c>
      <c r="AT130" s="6">
        <v>84.5</v>
      </c>
      <c r="AU130" s="6">
        <v>65.3</v>
      </c>
      <c r="AV130" s="4">
        <v>219</v>
      </c>
      <c r="AW130" s="4">
        <v>166</v>
      </c>
    </row>
    <row r="131" spans="1:49" x14ac:dyDescent="0.2">
      <c r="A131" s="1">
        <v>44596</v>
      </c>
      <c r="B131">
        <f t="shared" ref="B131:B135" si="17">B130</f>
        <v>-3.3</v>
      </c>
      <c r="C131" s="1" t="s">
        <v>57</v>
      </c>
      <c r="D131" s="1" t="s">
        <v>61</v>
      </c>
      <c r="E131" s="1" t="s">
        <v>69</v>
      </c>
      <c r="F131" s="1" t="s">
        <v>50</v>
      </c>
      <c r="G131">
        <v>2786</v>
      </c>
      <c r="H131" s="4">
        <v>80.099999999999994</v>
      </c>
      <c r="I131" s="4">
        <v>111</v>
      </c>
      <c r="J131" s="4">
        <v>64</v>
      </c>
      <c r="K131" s="8"/>
      <c r="L131" s="4">
        <v>83</v>
      </c>
      <c r="M131" s="4">
        <v>70</v>
      </c>
      <c r="N131" s="4">
        <v>92</v>
      </c>
      <c r="O131" s="4">
        <v>62</v>
      </c>
      <c r="P131" s="4">
        <v>56.888946226276403</v>
      </c>
      <c r="Q131" s="4">
        <v>75.838126494170993</v>
      </c>
      <c r="R131" s="8"/>
      <c r="S131" s="7" t="s">
        <v>34</v>
      </c>
      <c r="T131" s="4">
        <v>329023</v>
      </c>
      <c r="U131" s="4">
        <v>1030035</v>
      </c>
      <c r="V131" s="4">
        <v>3161</v>
      </c>
      <c r="W131" s="4">
        <v>122400</v>
      </c>
      <c r="X131" s="4">
        <v>200285</v>
      </c>
      <c r="Y131" s="4">
        <v>829750</v>
      </c>
      <c r="Z131" s="4">
        <v>120000</v>
      </c>
      <c r="AA131" s="4">
        <v>2400</v>
      </c>
      <c r="AB131" s="4">
        <v>91570</v>
      </c>
      <c r="AC131" s="4">
        <v>954258</v>
      </c>
      <c r="AD131" s="4">
        <v>1462</v>
      </c>
      <c r="AE131" s="4">
        <v>16917</v>
      </c>
      <c r="AF131" s="4">
        <v>1064207</v>
      </c>
      <c r="AG131" s="6">
        <v>63188</v>
      </c>
      <c r="AH131" s="6">
        <v>57312</v>
      </c>
      <c r="AI131" s="6">
        <v>5876</v>
      </c>
      <c r="AJ131" s="6">
        <v>-125440</v>
      </c>
      <c r="AK131" s="6">
        <v>-17.600000000000001</v>
      </c>
      <c r="AL131" s="4">
        <v>1420</v>
      </c>
      <c r="AM131" s="4">
        <v>14481</v>
      </c>
      <c r="AN131" s="4">
        <v>474</v>
      </c>
      <c r="AO131" s="6">
        <v>82228</v>
      </c>
      <c r="AP131" s="6">
        <v>15151</v>
      </c>
      <c r="AQ131" s="6">
        <v>29181</v>
      </c>
      <c r="AR131" s="6">
        <v>37896</v>
      </c>
      <c r="AS131" s="6">
        <v>91.1</v>
      </c>
      <c r="AT131" s="6">
        <v>84.4</v>
      </c>
      <c r="AU131" s="6">
        <v>65.2</v>
      </c>
      <c r="AV131" s="4">
        <v>195</v>
      </c>
      <c r="AW131" s="4">
        <v>157</v>
      </c>
    </row>
    <row r="132" spans="1:49" x14ac:dyDescent="0.2">
      <c r="A132" s="1">
        <v>44595</v>
      </c>
      <c r="B132">
        <f t="shared" si="17"/>
        <v>-3.3</v>
      </c>
      <c r="C132" s="1" t="s">
        <v>57</v>
      </c>
      <c r="D132" s="1" t="s">
        <v>61</v>
      </c>
      <c r="E132" s="1" t="s">
        <v>69</v>
      </c>
      <c r="F132" s="1" t="s">
        <v>50</v>
      </c>
      <c r="G132">
        <v>2709</v>
      </c>
      <c r="H132" s="4">
        <v>93.25</v>
      </c>
      <c r="I132" s="4">
        <v>111</v>
      </c>
      <c r="J132" s="4">
        <v>64</v>
      </c>
      <c r="K132" s="8"/>
      <c r="L132" s="4">
        <v>97</v>
      </c>
      <c r="M132" s="4">
        <v>73</v>
      </c>
      <c r="N132" s="4">
        <v>94</v>
      </c>
      <c r="O132" s="4">
        <v>61</v>
      </c>
      <c r="P132" s="4">
        <v>58.926171563101398</v>
      </c>
      <c r="Q132" s="4">
        <v>75.335142699384704</v>
      </c>
      <c r="R132" s="8"/>
      <c r="S132" s="7" t="s">
        <v>34</v>
      </c>
      <c r="T132" s="4">
        <v>373107</v>
      </c>
      <c r="U132" s="4">
        <v>1027106</v>
      </c>
      <c r="V132" s="4">
        <v>3442</v>
      </c>
      <c r="W132" s="4">
        <v>122400</v>
      </c>
      <c r="X132" s="4">
        <v>200106</v>
      </c>
      <c r="Y132" s="4">
        <v>827000</v>
      </c>
      <c r="Z132" s="4">
        <v>120000</v>
      </c>
      <c r="AA132" s="4">
        <v>2400</v>
      </c>
      <c r="AB132" s="4">
        <v>95300</v>
      </c>
      <c r="AC132" s="4">
        <v>1106491</v>
      </c>
      <c r="AD132" s="4">
        <v>1472</v>
      </c>
      <c r="AE132" s="4">
        <v>19345</v>
      </c>
      <c r="AF132" s="4">
        <v>1222608</v>
      </c>
      <c r="AG132" s="6">
        <v>76618</v>
      </c>
      <c r="AH132" s="6">
        <v>69084</v>
      </c>
      <c r="AI132" s="6">
        <v>7534</v>
      </c>
      <c r="AJ132" s="6">
        <v>-112154</v>
      </c>
      <c r="AK132" s="6">
        <v>-15.5999999999999</v>
      </c>
      <c r="AL132" s="4">
        <v>1491</v>
      </c>
      <c r="AM132" s="4">
        <v>14913</v>
      </c>
      <c r="AN132" s="4">
        <v>478</v>
      </c>
      <c r="AO132" s="6">
        <v>78355</v>
      </c>
      <c r="AP132" s="6">
        <v>13343</v>
      </c>
      <c r="AQ132" s="6">
        <v>26099</v>
      </c>
      <c r="AR132" s="6">
        <v>38913</v>
      </c>
      <c r="AS132" s="6">
        <v>91.1</v>
      </c>
      <c r="AT132" s="6">
        <v>84.4</v>
      </c>
      <c r="AU132" s="6">
        <v>65.099999999999994</v>
      </c>
      <c r="AV132" s="4">
        <v>230</v>
      </c>
      <c r="AW132" s="4">
        <v>189</v>
      </c>
    </row>
    <row r="133" spans="1:49" x14ac:dyDescent="0.2">
      <c r="A133" s="1">
        <v>44594</v>
      </c>
      <c r="B133">
        <f t="shared" si="17"/>
        <v>-3.3</v>
      </c>
      <c r="C133" s="1" t="s">
        <v>57</v>
      </c>
      <c r="D133" s="1" t="s">
        <v>61</v>
      </c>
      <c r="E133" s="1" t="s">
        <v>69</v>
      </c>
      <c r="F133" s="1" t="s">
        <v>50</v>
      </c>
      <c r="G133">
        <v>2637</v>
      </c>
      <c r="H133" s="4">
        <v>69.87</v>
      </c>
      <c r="I133" s="4">
        <v>111</v>
      </c>
      <c r="J133" s="4">
        <v>63</v>
      </c>
      <c r="K133" s="8"/>
      <c r="L133" s="4">
        <v>102</v>
      </c>
      <c r="M133" s="4">
        <v>72</v>
      </c>
      <c r="N133" s="4">
        <v>93</v>
      </c>
      <c r="O133" s="4">
        <v>61</v>
      </c>
      <c r="P133" s="4">
        <v>56.539911194336</v>
      </c>
      <c r="Q133" s="4">
        <v>75.170189458605705</v>
      </c>
      <c r="R133" s="8"/>
      <c r="S133" s="7" t="s">
        <v>34</v>
      </c>
      <c r="T133" s="4">
        <v>380664</v>
      </c>
      <c r="U133" s="4">
        <v>1027106</v>
      </c>
      <c r="V133" s="4">
        <v>2715</v>
      </c>
      <c r="W133" s="4">
        <v>122400</v>
      </c>
      <c r="X133" s="4">
        <v>200106</v>
      </c>
      <c r="Y133" s="4">
        <v>827000</v>
      </c>
      <c r="Z133" s="4">
        <v>120000</v>
      </c>
      <c r="AA133" s="4">
        <v>2400</v>
      </c>
      <c r="AB133" s="4">
        <v>102614</v>
      </c>
      <c r="AC133" s="4">
        <v>1214336</v>
      </c>
      <c r="AD133" s="4">
        <v>1023</v>
      </c>
      <c r="AE133" s="4">
        <v>19683</v>
      </c>
      <c r="AF133" s="4">
        <v>1337656</v>
      </c>
      <c r="AG133" s="6">
        <v>88400</v>
      </c>
      <c r="AH133" s="6">
        <v>79724</v>
      </c>
      <c r="AI133" s="6">
        <v>8676</v>
      </c>
      <c r="AJ133" s="6">
        <v>-96720</v>
      </c>
      <c r="AK133" s="6">
        <v>-13.3</v>
      </c>
      <c r="AL133" s="4">
        <v>1662</v>
      </c>
      <c r="AM133" s="4">
        <v>15101</v>
      </c>
      <c r="AN133" s="4">
        <v>483</v>
      </c>
      <c r="AO133" s="6">
        <v>78777</v>
      </c>
      <c r="AP133" s="6">
        <v>12466</v>
      </c>
      <c r="AQ133" s="6">
        <v>27274</v>
      </c>
      <c r="AR133" s="6">
        <v>39037</v>
      </c>
      <c r="AS133" s="6">
        <v>91.1</v>
      </c>
      <c r="AT133" s="6">
        <v>84.3</v>
      </c>
      <c r="AU133" s="6">
        <v>65.099999999999994</v>
      </c>
      <c r="AV133" s="4">
        <v>249</v>
      </c>
      <c r="AW133" s="4">
        <v>181</v>
      </c>
    </row>
    <row r="134" spans="1:49" x14ac:dyDescent="0.2">
      <c r="A134" s="1">
        <v>44593</v>
      </c>
      <c r="B134">
        <f t="shared" si="17"/>
        <v>-3.3</v>
      </c>
      <c r="C134" s="1" t="s">
        <v>57</v>
      </c>
      <c r="D134" s="1" t="s">
        <v>61</v>
      </c>
      <c r="E134" s="1" t="s">
        <v>69</v>
      </c>
      <c r="F134" s="1" t="s">
        <v>50</v>
      </c>
      <c r="G134">
        <v>2570</v>
      </c>
      <c r="H134" s="4">
        <v>64.28</v>
      </c>
      <c r="I134" s="4">
        <v>111</v>
      </c>
      <c r="J134" s="4">
        <v>62</v>
      </c>
      <c r="K134" s="8"/>
      <c r="L134" s="4">
        <v>104</v>
      </c>
      <c r="M134" s="4">
        <v>72</v>
      </c>
      <c r="N134" s="4">
        <v>94</v>
      </c>
      <c r="O134" s="4">
        <v>61</v>
      </c>
      <c r="P134" s="4">
        <v>56.630577081553298</v>
      </c>
      <c r="Q134" s="4">
        <v>75.664386830897001</v>
      </c>
      <c r="R134" s="8"/>
      <c r="S134" s="7" t="s">
        <v>34</v>
      </c>
      <c r="T134" s="4">
        <v>384337</v>
      </c>
      <c r="U134" s="4">
        <v>1042106</v>
      </c>
      <c r="V134" s="4">
        <v>2426</v>
      </c>
      <c r="W134" s="4">
        <v>122400</v>
      </c>
      <c r="X134" s="4">
        <v>200106</v>
      </c>
      <c r="Y134" s="4">
        <v>842000</v>
      </c>
      <c r="Z134" s="4">
        <v>120000</v>
      </c>
      <c r="AA134" s="4">
        <v>2400</v>
      </c>
      <c r="AB134" s="4">
        <v>109457</v>
      </c>
      <c r="AC134" s="4">
        <v>1063914</v>
      </c>
      <c r="AD134" s="4">
        <v>982</v>
      </c>
      <c r="AE134" s="4">
        <v>12931</v>
      </c>
      <c r="AF134" s="4">
        <v>1187284</v>
      </c>
      <c r="AG134" s="6">
        <v>93763</v>
      </c>
      <c r="AH134" s="6">
        <v>84207</v>
      </c>
      <c r="AI134" s="6">
        <v>9556</v>
      </c>
      <c r="AJ134" s="6">
        <v>-79565</v>
      </c>
      <c r="AK134" s="6">
        <v>-10.9</v>
      </c>
      <c r="AL134" s="4">
        <v>1771</v>
      </c>
      <c r="AM134" s="4">
        <v>15490</v>
      </c>
      <c r="AN134" s="4">
        <v>502</v>
      </c>
      <c r="AO134" s="6">
        <v>77086</v>
      </c>
      <c r="AP134" s="6">
        <v>12735</v>
      </c>
      <c r="AQ134" s="6">
        <v>26367</v>
      </c>
      <c r="AR134" s="6">
        <v>37984</v>
      </c>
      <c r="AS134" s="6">
        <v>91.1</v>
      </c>
      <c r="AT134" s="6">
        <v>84.3</v>
      </c>
      <c r="AU134" s="6">
        <v>65</v>
      </c>
      <c r="AV134" s="4">
        <v>264</v>
      </c>
      <c r="AW134" s="4">
        <v>200</v>
      </c>
    </row>
    <row r="135" spans="1:49" x14ac:dyDescent="0.2">
      <c r="A135" s="1">
        <v>44592</v>
      </c>
      <c r="B135">
        <f t="shared" si="17"/>
        <v>-3.3</v>
      </c>
      <c r="C135" s="1" t="s">
        <v>57</v>
      </c>
      <c r="D135" s="1" t="s">
        <v>61</v>
      </c>
      <c r="E135" s="1" t="s">
        <v>69</v>
      </c>
      <c r="F135" s="1" t="s">
        <v>50</v>
      </c>
      <c r="G135">
        <v>2508</v>
      </c>
      <c r="H135" s="4">
        <v>60.42</v>
      </c>
      <c r="I135" s="4">
        <v>111</v>
      </c>
      <c r="J135" s="4">
        <v>61</v>
      </c>
      <c r="K135" s="8"/>
      <c r="L135" s="4">
        <v>102</v>
      </c>
      <c r="M135" s="4">
        <v>73</v>
      </c>
      <c r="N135" s="4">
        <v>93</v>
      </c>
      <c r="O135" s="4">
        <v>58</v>
      </c>
      <c r="P135" s="4">
        <v>53.449011097502002</v>
      </c>
      <c r="Q135" s="4">
        <v>74.177171992689196</v>
      </c>
      <c r="R135" s="8"/>
      <c r="S135" s="7" t="s">
        <v>34</v>
      </c>
      <c r="T135" s="4">
        <v>224512</v>
      </c>
      <c r="U135" s="4">
        <v>1017106</v>
      </c>
      <c r="V135" s="4">
        <v>1952</v>
      </c>
      <c r="W135" s="4">
        <v>122400</v>
      </c>
      <c r="X135" s="4">
        <v>200106</v>
      </c>
      <c r="Y135" s="4">
        <v>817000</v>
      </c>
      <c r="Z135" s="4">
        <v>120000</v>
      </c>
      <c r="AA135" s="4">
        <v>2400</v>
      </c>
      <c r="AB135" s="4">
        <v>103601</v>
      </c>
      <c r="AC135" s="4">
        <v>1116915</v>
      </c>
      <c r="AD135" s="4">
        <v>931</v>
      </c>
      <c r="AE135" s="4">
        <v>15193</v>
      </c>
      <c r="AF135" s="4">
        <v>1236640</v>
      </c>
      <c r="AG135" s="6">
        <v>104922</v>
      </c>
      <c r="AH135" s="6">
        <v>94188</v>
      </c>
      <c r="AI135" s="6">
        <v>10734</v>
      </c>
      <c r="AJ135" s="6">
        <v>-65740</v>
      </c>
      <c r="AK135" s="6">
        <v>-9</v>
      </c>
      <c r="AL135" s="4">
        <v>1662</v>
      </c>
      <c r="AM135" s="4">
        <v>15938</v>
      </c>
      <c r="AN135" s="4">
        <v>511</v>
      </c>
      <c r="AO135" s="6">
        <v>78666</v>
      </c>
      <c r="AP135" s="6">
        <v>15329</v>
      </c>
      <c r="AQ135" s="6">
        <v>24275</v>
      </c>
      <c r="AR135" s="6">
        <v>39062</v>
      </c>
      <c r="AS135" s="6">
        <v>91</v>
      </c>
      <c r="AT135" s="6">
        <v>84.2</v>
      </c>
      <c r="AU135" s="6">
        <v>64.900000000000006</v>
      </c>
      <c r="AV135" s="4">
        <v>259</v>
      </c>
      <c r="AW135" s="4">
        <v>201</v>
      </c>
    </row>
    <row r="136" spans="1:49" x14ac:dyDescent="0.2">
      <c r="A136" s="1">
        <v>44591</v>
      </c>
      <c r="B136">
        <v>-3.89</v>
      </c>
      <c r="C136" s="1" t="s">
        <v>57</v>
      </c>
      <c r="D136" s="1" t="s">
        <v>61</v>
      </c>
      <c r="E136" s="1" t="s">
        <v>69</v>
      </c>
      <c r="F136" s="1" t="s">
        <v>50</v>
      </c>
      <c r="G136">
        <v>2438</v>
      </c>
      <c r="H136" s="4">
        <v>89.33</v>
      </c>
      <c r="I136" s="4">
        <v>102</v>
      </c>
      <c r="J136" s="4">
        <v>91</v>
      </c>
      <c r="K136" s="8"/>
      <c r="L136" s="4">
        <v>115</v>
      </c>
      <c r="M136" s="4">
        <v>78</v>
      </c>
      <c r="N136" s="4">
        <v>88</v>
      </c>
      <c r="O136" s="4">
        <v>71</v>
      </c>
      <c r="P136" s="4">
        <v>71.723160479639901</v>
      </c>
      <c r="Q136" s="4">
        <v>84.673607816681695</v>
      </c>
      <c r="R136" s="8"/>
      <c r="S136" s="7" t="s">
        <v>34</v>
      </c>
      <c r="T136" s="4">
        <v>257312</v>
      </c>
      <c r="U136" s="4">
        <v>1020856</v>
      </c>
      <c r="V136" s="4">
        <v>266</v>
      </c>
      <c r="W136" s="4">
        <v>122400</v>
      </c>
      <c r="X136" s="4">
        <v>200106</v>
      </c>
      <c r="Y136" s="4">
        <v>820750</v>
      </c>
      <c r="Z136" s="4">
        <v>120000</v>
      </c>
      <c r="AA136" s="4">
        <v>2400</v>
      </c>
      <c r="AB136" s="4">
        <v>77182</v>
      </c>
      <c r="AC136" s="4">
        <v>1034987</v>
      </c>
      <c r="AD136" s="4">
        <v>266</v>
      </c>
      <c r="AE136" s="4">
        <v>16549</v>
      </c>
      <c r="AF136" s="4">
        <v>1128984</v>
      </c>
      <c r="AG136" s="6">
        <v>87555</v>
      </c>
      <c r="AH136" s="6">
        <v>78991</v>
      </c>
      <c r="AI136" s="6">
        <v>8564</v>
      </c>
      <c r="AJ136" s="6">
        <v>-47503</v>
      </c>
      <c r="AK136" s="6">
        <v>-6.4</v>
      </c>
      <c r="AL136" s="4">
        <v>1426</v>
      </c>
      <c r="AM136" s="4">
        <v>15583</v>
      </c>
      <c r="AN136" s="4">
        <v>520</v>
      </c>
      <c r="AO136" s="6">
        <v>72984</v>
      </c>
      <c r="AP136" s="6">
        <v>11684</v>
      </c>
      <c r="AQ136" s="6">
        <v>27601</v>
      </c>
      <c r="AR136" s="6">
        <v>33699</v>
      </c>
      <c r="AS136" s="6">
        <v>91</v>
      </c>
      <c r="AT136" s="6">
        <v>84.2</v>
      </c>
      <c r="AU136" s="6">
        <v>64.900000000000006</v>
      </c>
      <c r="AV136" s="4">
        <v>245</v>
      </c>
      <c r="AW136" s="4">
        <v>188</v>
      </c>
    </row>
    <row r="137" spans="1:49" x14ac:dyDescent="0.2">
      <c r="A137" s="1">
        <v>44590</v>
      </c>
      <c r="B137">
        <f>B136</f>
        <v>-3.89</v>
      </c>
      <c r="C137" s="1" t="s">
        <v>57</v>
      </c>
      <c r="D137" s="1" t="s">
        <v>61</v>
      </c>
      <c r="E137" s="1" t="s">
        <v>69</v>
      </c>
      <c r="F137" s="1" t="s">
        <v>50</v>
      </c>
      <c r="G137">
        <v>2382</v>
      </c>
      <c r="H137" s="4">
        <v>97.38</v>
      </c>
      <c r="I137" s="4">
        <v>103</v>
      </c>
      <c r="J137" s="4">
        <v>90</v>
      </c>
      <c r="K137" s="8"/>
      <c r="L137" s="4">
        <v>92</v>
      </c>
      <c r="M137" s="4">
        <v>76</v>
      </c>
      <c r="N137" s="4">
        <v>91</v>
      </c>
      <c r="O137" s="4">
        <v>72</v>
      </c>
      <c r="P137" s="4">
        <v>68.1245443684695</v>
      </c>
      <c r="Q137" s="4">
        <v>79.9724961902172</v>
      </c>
      <c r="R137" s="8"/>
      <c r="S137" s="7" t="s">
        <v>34</v>
      </c>
      <c r="T137" s="4">
        <v>298281</v>
      </c>
      <c r="U137" s="4">
        <v>1020856</v>
      </c>
      <c r="V137" s="4">
        <v>564</v>
      </c>
      <c r="W137" s="4">
        <v>122400</v>
      </c>
      <c r="X137" s="4">
        <v>200106</v>
      </c>
      <c r="Y137" s="4">
        <v>820750</v>
      </c>
      <c r="Z137" s="4">
        <v>120000</v>
      </c>
      <c r="AA137" s="4">
        <v>2400</v>
      </c>
      <c r="AB137" s="4">
        <v>67994</v>
      </c>
      <c r="AC137" s="4">
        <v>843475</v>
      </c>
      <c r="AD137" s="4">
        <v>564</v>
      </c>
      <c r="AE137" s="4">
        <v>11821</v>
      </c>
      <c r="AF137" s="4">
        <v>923854</v>
      </c>
      <c r="AG137" s="6">
        <v>73502</v>
      </c>
      <c r="AH137" s="6">
        <v>66852</v>
      </c>
      <c r="AI137" s="6">
        <v>6650</v>
      </c>
      <c r="AJ137" s="6">
        <v>-28479</v>
      </c>
      <c r="AK137" s="6">
        <v>-3.8999999999999901</v>
      </c>
      <c r="AL137" s="4">
        <v>1451</v>
      </c>
      <c r="AM137" s="4">
        <v>15297</v>
      </c>
      <c r="AN137" s="4">
        <v>527</v>
      </c>
      <c r="AO137" s="6">
        <v>113276</v>
      </c>
      <c r="AP137" s="6">
        <v>18946</v>
      </c>
      <c r="AQ137" s="6">
        <v>40329</v>
      </c>
      <c r="AR137" s="6">
        <v>54001</v>
      </c>
      <c r="AS137" s="6">
        <v>91</v>
      </c>
      <c r="AT137" s="6">
        <v>84.1</v>
      </c>
      <c r="AU137" s="6">
        <v>64.8</v>
      </c>
      <c r="AV137" s="4">
        <v>261</v>
      </c>
      <c r="AW137" s="4">
        <v>178</v>
      </c>
    </row>
    <row r="138" spans="1:49" x14ac:dyDescent="0.2">
      <c r="A138" s="1">
        <v>44589</v>
      </c>
      <c r="B138">
        <f t="shared" ref="B138:B142" si="18">B137</f>
        <v>-3.89</v>
      </c>
      <c r="C138" s="1" t="s">
        <v>57</v>
      </c>
      <c r="D138" s="1" t="s">
        <v>61</v>
      </c>
      <c r="E138" s="1" t="s">
        <v>69</v>
      </c>
      <c r="F138" s="1" t="s">
        <v>50</v>
      </c>
      <c r="G138">
        <v>2378</v>
      </c>
      <c r="H138" s="4">
        <v>85.96</v>
      </c>
      <c r="I138" s="4">
        <v>111</v>
      </c>
      <c r="J138" s="4">
        <v>64</v>
      </c>
      <c r="K138" s="8"/>
      <c r="L138" s="4">
        <v>91</v>
      </c>
      <c r="M138" s="4">
        <v>71</v>
      </c>
      <c r="N138" s="4">
        <v>93</v>
      </c>
      <c r="O138" s="4">
        <v>60</v>
      </c>
      <c r="P138" s="4">
        <v>54.8046336095979</v>
      </c>
      <c r="Q138" s="4">
        <v>75.337338152302607</v>
      </c>
      <c r="R138" s="8"/>
      <c r="S138" s="7" t="s">
        <v>34</v>
      </c>
      <c r="T138" s="4">
        <v>360013</v>
      </c>
      <c r="U138" s="4">
        <v>1020856</v>
      </c>
      <c r="V138" s="4">
        <v>1503</v>
      </c>
      <c r="W138" s="4">
        <v>122400</v>
      </c>
      <c r="X138" s="4">
        <v>200106</v>
      </c>
      <c r="Y138" s="4">
        <v>820750</v>
      </c>
      <c r="Z138" s="4">
        <v>120000</v>
      </c>
      <c r="AA138" s="4">
        <v>2400</v>
      </c>
      <c r="AB138" s="4">
        <v>89788</v>
      </c>
      <c r="AC138" s="4">
        <v>1055016</v>
      </c>
      <c r="AD138" s="4">
        <v>1428</v>
      </c>
      <c r="AE138" s="4">
        <v>13975</v>
      </c>
      <c r="AF138" s="4">
        <v>1160207</v>
      </c>
      <c r="AG138" s="6">
        <v>84018</v>
      </c>
      <c r="AH138" s="6">
        <v>76109</v>
      </c>
      <c r="AI138" s="6">
        <v>7909</v>
      </c>
      <c r="AJ138" s="6">
        <v>-16477</v>
      </c>
      <c r="AK138" s="6">
        <v>-2.2999999999999901</v>
      </c>
      <c r="AL138" s="4">
        <v>1529</v>
      </c>
      <c r="AM138" s="4">
        <v>16170</v>
      </c>
      <c r="AN138" s="4">
        <v>535</v>
      </c>
      <c r="AO138" s="6">
        <v>108307</v>
      </c>
      <c r="AP138" s="6">
        <v>16949</v>
      </c>
      <c r="AQ138" s="6">
        <v>33935</v>
      </c>
      <c r="AR138" s="6">
        <v>57423</v>
      </c>
      <c r="AS138" s="6">
        <v>91</v>
      </c>
      <c r="AT138" s="6">
        <v>84.1</v>
      </c>
      <c r="AU138" s="6">
        <v>64.7</v>
      </c>
      <c r="AV138" s="4">
        <v>258</v>
      </c>
      <c r="AW138" s="4">
        <v>199</v>
      </c>
    </row>
    <row r="139" spans="1:49" x14ac:dyDescent="0.2">
      <c r="A139" s="1">
        <v>44588</v>
      </c>
      <c r="B139">
        <f t="shared" si="18"/>
        <v>-3.89</v>
      </c>
      <c r="C139" s="1" t="s">
        <v>57</v>
      </c>
      <c r="D139" s="1" t="s">
        <v>61</v>
      </c>
      <c r="E139" s="1" t="s">
        <v>69</v>
      </c>
      <c r="F139" s="1" t="s">
        <v>50</v>
      </c>
      <c r="G139">
        <v>2381</v>
      </c>
      <c r="H139" s="4">
        <v>73.14</v>
      </c>
      <c r="I139" s="4">
        <v>112</v>
      </c>
      <c r="J139" s="4">
        <v>62</v>
      </c>
      <c r="K139" s="8"/>
      <c r="L139" s="4">
        <v>97</v>
      </c>
      <c r="M139" s="4">
        <v>70</v>
      </c>
      <c r="N139" s="4">
        <v>92</v>
      </c>
      <c r="O139" s="4">
        <v>57</v>
      </c>
      <c r="P139" s="4">
        <v>54.312694140024703</v>
      </c>
      <c r="Q139" s="4">
        <v>73.222649265846897</v>
      </c>
      <c r="R139" s="8"/>
      <c r="S139" s="7" t="s">
        <v>34</v>
      </c>
      <c r="T139" s="4">
        <v>388869</v>
      </c>
      <c r="U139" s="4">
        <v>1020846</v>
      </c>
      <c r="V139" s="4">
        <v>4007</v>
      </c>
      <c r="W139" s="4">
        <v>122400</v>
      </c>
      <c r="X139" s="4">
        <v>200096</v>
      </c>
      <c r="Y139" s="4">
        <v>820750</v>
      </c>
      <c r="Z139" s="4">
        <v>120000</v>
      </c>
      <c r="AA139" s="4">
        <v>2400</v>
      </c>
      <c r="AB139" s="4">
        <v>90720</v>
      </c>
      <c r="AC139" s="4">
        <v>1177090</v>
      </c>
      <c r="AD139" s="4">
        <v>1402</v>
      </c>
      <c r="AE139" s="4">
        <v>17251</v>
      </c>
      <c r="AF139" s="4">
        <v>1286463</v>
      </c>
      <c r="AG139" s="6">
        <v>96183</v>
      </c>
      <c r="AH139" s="6">
        <v>86816</v>
      </c>
      <c r="AI139" s="6">
        <v>9367</v>
      </c>
      <c r="AJ139" s="6">
        <v>-3683</v>
      </c>
      <c r="AK139" s="6">
        <v>-0.5</v>
      </c>
      <c r="AL139" s="4">
        <v>1685</v>
      </c>
      <c r="AM139" s="4">
        <v>16396</v>
      </c>
      <c r="AN139" s="4">
        <v>549</v>
      </c>
      <c r="AO139" s="6">
        <v>98610</v>
      </c>
      <c r="AP139" s="6">
        <v>15706</v>
      </c>
      <c r="AQ139" s="6">
        <v>29948</v>
      </c>
      <c r="AR139" s="6">
        <v>52956</v>
      </c>
      <c r="AS139" s="6">
        <v>90.9</v>
      </c>
      <c r="AT139" s="6">
        <v>84</v>
      </c>
      <c r="AU139" s="6">
        <v>64.599999999999994</v>
      </c>
      <c r="AV139" s="4">
        <v>302</v>
      </c>
      <c r="AW139" s="4">
        <v>211</v>
      </c>
    </row>
    <row r="140" spans="1:49" x14ac:dyDescent="0.2">
      <c r="A140" s="1">
        <v>44587</v>
      </c>
      <c r="B140">
        <f t="shared" si="18"/>
        <v>-3.89</v>
      </c>
      <c r="C140" s="1" t="s">
        <v>57</v>
      </c>
      <c r="D140" s="1" t="s">
        <v>62</v>
      </c>
      <c r="E140" s="1" t="s">
        <v>65</v>
      </c>
      <c r="F140" s="1" t="s">
        <v>50</v>
      </c>
      <c r="G140">
        <v>2396</v>
      </c>
      <c r="H140" s="4">
        <v>68.91</v>
      </c>
      <c r="I140" s="4">
        <v>113</v>
      </c>
      <c r="J140" s="4">
        <v>61</v>
      </c>
      <c r="K140" s="8"/>
      <c r="L140" s="4">
        <v>95</v>
      </c>
      <c r="M140" s="4">
        <v>69</v>
      </c>
      <c r="N140" s="4">
        <v>91</v>
      </c>
      <c r="O140" s="4">
        <v>56</v>
      </c>
      <c r="P140" s="4">
        <v>52.483721433210803</v>
      </c>
      <c r="Q140" s="4">
        <v>72.657191926687304</v>
      </c>
      <c r="R140" s="8"/>
      <c r="S140" s="7" t="s">
        <v>34</v>
      </c>
      <c r="T140" s="4">
        <v>407194</v>
      </c>
      <c r="U140" s="4">
        <v>1020846</v>
      </c>
      <c r="V140" s="4">
        <v>1099</v>
      </c>
      <c r="W140" s="4">
        <v>122400</v>
      </c>
      <c r="X140" s="4">
        <v>200096</v>
      </c>
      <c r="Y140" s="4">
        <v>820750</v>
      </c>
      <c r="Z140" s="4">
        <v>120000</v>
      </c>
      <c r="AA140" s="4">
        <v>2400</v>
      </c>
      <c r="AB140" s="4">
        <v>100842</v>
      </c>
      <c r="AC140" s="4">
        <v>1324798</v>
      </c>
      <c r="AD140" s="4">
        <v>1099</v>
      </c>
      <c r="AE140" s="4">
        <v>15589</v>
      </c>
      <c r="AF140" s="4">
        <v>1442328</v>
      </c>
      <c r="AG140" s="6">
        <v>108652</v>
      </c>
      <c r="AH140" s="6">
        <v>97928</v>
      </c>
      <c r="AI140" s="6">
        <v>10724</v>
      </c>
      <c r="AJ140" s="6">
        <v>4365</v>
      </c>
      <c r="AK140" s="6">
        <v>0.59999999999999898</v>
      </c>
      <c r="AL140" s="4">
        <v>1881</v>
      </c>
      <c r="AM140" s="4">
        <v>16736</v>
      </c>
      <c r="AN140" s="4">
        <v>561</v>
      </c>
      <c r="AO140" s="6">
        <v>100741</v>
      </c>
      <c r="AP140" s="6">
        <v>15358</v>
      </c>
      <c r="AQ140" s="6">
        <v>30919</v>
      </c>
      <c r="AR140" s="6">
        <v>54464</v>
      </c>
      <c r="AS140" s="6">
        <v>90.9</v>
      </c>
      <c r="AT140" s="6">
        <v>84</v>
      </c>
      <c r="AU140" s="6">
        <v>64.5</v>
      </c>
      <c r="AV140" s="4">
        <v>264</v>
      </c>
      <c r="AW140" s="4">
        <v>195</v>
      </c>
    </row>
    <row r="141" spans="1:49" x14ac:dyDescent="0.2">
      <c r="A141" s="1">
        <v>44586</v>
      </c>
      <c r="B141">
        <f t="shared" si="18"/>
        <v>-3.89</v>
      </c>
      <c r="C141" s="1" t="s">
        <v>57</v>
      </c>
      <c r="D141" s="1" t="s">
        <v>62</v>
      </c>
      <c r="E141" s="1" t="s">
        <v>65</v>
      </c>
      <c r="F141" s="1" t="s">
        <v>50</v>
      </c>
      <c r="G141">
        <v>2400</v>
      </c>
      <c r="H141" s="4">
        <v>59.3</v>
      </c>
      <c r="I141" s="4">
        <v>113</v>
      </c>
      <c r="J141" s="4">
        <v>60</v>
      </c>
      <c r="K141" s="8"/>
      <c r="L141" s="4">
        <v>84</v>
      </c>
      <c r="M141" s="4">
        <v>67</v>
      </c>
      <c r="N141" s="4">
        <v>89</v>
      </c>
      <c r="O141" s="4">
        <v>56</v>
      </c>
      <c r="P141" s="4">
        <v>51.738972015560599</v>
      </c>
      <c r="Q141" s="4">
        <v>71.747627523116904</v>
      </c>
      <c r="R141" s="8"/>
      <c r="S141" s="7" t="s">
        <v>34</v>
      </c>
      <c r="T141" s="4">
        <v>417982</v>
      </c>
      <c r="U141" s="4">
        <v>1020928</v>
      </c>
      <c r="V141" s="4">
        <v>3692</v>
      </c>
      <c r="W141" s="4">
        <v>122400</v>
      </c>
      <c r="X141" s="4">
        <v>200096</v>
      </c>
      <c r="Y141" s="4">
        <v>820750</v>
      </c>
      <c r="Z141" s="4">
        <v>120000</v>
      </c>
      <c r="AA141" s="4">
        <v>2482</v>
      </c>
      <c r="AB141" s="4">
        <v>116340</v>
      </c>
      <c r="AC141" s="4">
        <v>1144661</v>
      </c>
      <c r="AD141" s="4">
        <v>1188</v>
      </c>
      <c r="AE141" s="4">
        <v>13215</v>
      </c>
      <c r="AF141" s="4">
        <v>1275404</v>
      </c>
      <c r="AG141" s="6">
        <v>113162</v>
      </c>
      <c r="AH141" s="6">
        <v>101940</v>
      </c>
      <c r="AI141" s="6">
        <v>11222</v>
      </c>
      <c r="AJ141" s="6">
        <v>16004</v>
      </c>
      <c r="AK141" s="6">
        <v>2.2000000000000002</v>
      </c>
      <c r="AL141" s="4">
        <v>1899</v>
      </c>
      <c r="AM141" s="4">
        <v>16813</v>
      </c>
      <c r="AN141" s="4">
        <v>575</v>
      </c>
      <c r="AO141" s="6">
        <v>96266</v>
      </c>
      <c r="AP141" s="6">
        <v>13936</v>
      </c>
      <c r="AQ141" s="6">
        <v>28788</v>
      </c>
      <c r="AR141" s="6">
        <v>53542</v>
      </c>
      <c r="AS141" s="6">
        <v>90.9</v>
      </c>
      <c r="AT141" s="6">
        <v>83.9</v>
      </c>
      <c r="AU141" s="6">
        <v>64.400000000000006</v>
      </c>
      <c r="AV141" s="4">
        <v>245</v>
      </c>
      <c r="AW141" s="4">
        <v>194</v>
      </c>
    </row>
    <row r="142" spans="1:49" x14ac:dyDescent="0.2">
      <c r="A142" s="1">
        <v>44585</v>
      </c>
      <c r="B142">
        <f t="shared" si="18"/>
        <v>-3.89</v>
      </c>
      <c r="C142" s="1" t="s">
        <v>57</v>
      </c>
      <c r="D142" s="1" t="s">
        <v>62</v>
      </c>
      <c r="E142" s="1" t="s">
        <v>65</v>
      </c>
      <c r="F142" s="1" t="s">
        <v>50</v>
      </c>
      <c r="G142">
        <v>2400</v>
      </c>
      <c r="H142" s="4">
        <v>48.49</v>
      </c>
      <c r="I142" s="4">
        <v>113</v>
      </c>
      <c r="J142" s="4">
        <v>60</v>
      </c>
      <c r="K142" s="8"/>
      <c r="L142" s="4">
        <v>96</v>
      </c>
      <c r="M142" s="4">
        <v>69</v>
      </c>
      <c r="N142" s="4">
        <v>91</v>
      </c>
      <c r="O142" s="4">
        <v>55</v>
      </c>
      <c r="P142" s="4">
        <v>49.184016835827698</v>
      </c>
      <c r="Q142" s="4">
        <v>71.516404534530807</v>
      </c>
      <c r="R142" s="8"/>
      <c r="S142" s="7" t="s">
        <v>34</v>
      </c>
      <c r="T142" s="4">
        <v>266172</v>
      </c>
      <c r="U142" s="4">
        <v>1011064</v>
      </c>
      <c r="V142" s="4">
        <v>2305</v>
      </c>
      <c r="W142" s="4">
        <v>122400</v>
      </c>
      <c r="X142" s="4">
        <v>200096</v>
      </c>
      <c r="Y142" s="4">
        <v>810750</v>
      </c>
      <c r="Z142" s="4">
        <v>120000</v>
      </c>
      <c r="AA142" s="4">
        <v>2618</v>
      </c>
      <c r="AB142" s="4">
        <v>99847</v>
      </c>
      <c r="AC142" s="4">
        <v>1241753</v>
      </c>
      <c r="AD142" s="4">
        <v>986</v>
      </c>
      <c r="AE142" s="4">
        <v>12441</v>
      </c>
      <c r="AF142" s="4">
        <v>1355027</v>
      </c>
      <c r="AG142" s="6">
        <v>127331</v>
      </c>
      <c r="AH142" s="6">
        <v>114687</v>
      </c>
      <c r="AI142" s="6">
        <v>12644</v>
      </c>
      <c r="AJ142" s="6">
        <v>25092</v>
      </c>
      <c r="AK142" s="6">
        <v>3.5</v>
      </c>
      <c r="AL142" s="4">
        <v>1785</v>
      </c>
      <c r="AM142" s="4">
        <v>17396</v>
      </c>
      <c r="AN142" s="4">
        <v>598</v>
      </c>
      <c r="AO142" s="6">
        <v>101715</v>
      </c>
      <c r="AP142" s="6">
        <v>16005</v>
      </c>
      <c r="AQ142" s="6">
        <v>29833</v>
      </c>
      <c r="AR142" s="6">
        <v>55877</v>
      </c>
      <c r="AS142" s="6">
        <v>90.9</v>
      </c>
      <c r="AT142" s="6">
        <v>83.9</v>
      </c>
      <c r="AU142" s="6">
        <v>64.3</v>
      </c>
      <c r="AV142" s="4">
        <v>280</v>
      </c>
      <c r="AW142" s="4">
        <v>221</v>
      </c>
    </row>
    <row r="143" spans="1:49" x14ac:dyDescent="0.2">
      <c r="A143" s="1">
        <v>44584</v>
      </c>
      <c r="B143">
        <v>-4.32</v>
      </c>
      <c r="C143" s="1" t="s">
        <v>57</v>
      </c>
      <c r="D143" s="1" t="s">
        <v>62</v>
      </c>
      <c r="E143" s="1" t="s">
        <v>65</v>
      </c>
      <c r="F143" s="1" t="s">
        <v>50</v>
      </c>
      <c r="G143">
        <v>2398</v>
      </c>
      <c r="H143" s="4">
        <v>81.569999999999993</v>
      </c>
      <c r="I143" s="4">
        <v>104</v>
      </c>
      <c r="J143" s="4">
        <v>90</v>
      </c>
      <c r="K143" s="8"/>
      <c r="L143" s="4">
        <v>91</v>
      </c>
      <c r="M143" s="4">
        <v>74</v>
      </c>
      <c r="N143" s="4">
        <v>85</v>
      </c>
      <c r="O143" s="4">
        <v>66</v>
      </c>
      <c r="P143" s="4">
        <v>71.8104423604413</v>
      </c>
      <c r="Q143" s="4">
        <v>78.423870182749098</v>
      </c>
      <c r="R143" s="8"/>
      <c r="S143" s="7" t="s">
        <v>34</v>
      </c>
      <c r="T143" s="4">
        <v>268816</v>
      </c>
      <c r="U143" s="4">
        <v>1002116</v>
      </c>
      <c r="V143" s="4">
        <v>403</v>
      </c>
      <c r="W143" s="4">
        <v>122400</v>
      </c>
      <c r="X143" s="4">
        <v>200096</v>
      </c>
      <c r="Y143" s="4">
        <v>800750</v>
      </c>
      <c r="Z143" s="4">
        <v>120000</v>
      </c>
      <c r="AA143" s="4">
        <v>3670</v>
      </c>
      <c r="AB143" s="4">
        <v>81055</v>
      </c>
      <c r="AC143" s="4">
        <v>1129269</v>
      </c>
      <c r="AD143" s="4">
        <v>403</v>
      </c>
      <c r="AE143" s="4">
        <v>17942</v>
      </c>
      <c r="AF143" s="4">
        <v>1228669</v>
      </c>
      <c r="AG143" s="6">
        <v>102327</v>
      </c>
      <c r="AH143" s="6">
        <v>92584</v>
      </c>
      <c r="AI143" s="6">
        <v>9743</v>
      </c>
      <c r="AJ143" s="6">
        <v>27953</v>
      </c>
      <c r="AK143" s="6">
        <v>3.8999999999999901</v>
      </c>
      <c r="AL143" s="4">
        <v>1691</v>
      </c>
      <c r="AM143" s="4">
        <v>17114</v>
      </c>
      <c r="AN143" s="4">
        <v>603</v>
      </c>
      <c r="AO143" s="6">
        <v>85700</v>
      </c>
      <c r="AP143" s="6">
        <v>12266</v>
      </c>
      <c r="AQ143" s="6">
        <v>30710</v>
      </c>
      <c r="AR143" s="6">
        <v>42724</v>
      </c>
      <c r="AS143" s="6">
        <v>90.8</v>
      </c>
      <c r="AT143" s="6">
        <v>83.8</v>
      </c>
      <c r="AU143" s="6">
        <v>64.2</v>
      </c>
      <c r="AV143" s="4">
        <v>256</v>
      </c>
      <c r="AW143" s="4">
        <v>217</v>
      </c>
    </row>
    <row r="144" spans="1:49" x14ac:dyDescent="0.2">
      <c r="A144" s="1">
        <v>44583</v>
      </c>
      <c r="B144">
        <f>B143</f>
        <v>-4.32</v>
      </c>
      <c r="C144" s="1" t="s">
        <v>57</v>
      </c>
      <c r="D144" s="1" t="s">
        <v>62</v>
      </c>
      <c r="E144" s="1" t="s">
        <v>65</v>
      </c>
      <c r="F144" s="1" t="s">
        <v>50</v>
      </c>
      <c r="G144">
        <v>2398</v>
      </c>
      <c r="H144" s="4">
        <v>83.67</v>
      </c>
      <c r="I144" s="4">
        <v>105</v>
      </c>
      <c r="J144" s="4">
        <v>89</v>
      </c>
      <c r="K144" s="8"/>
      <c r="L144" s="4">
        <v>80</v>
      </c>
      <c r="M144" s="4">
        <v>71</v>
      </c>
      <c r="N144" s="4">
        <v>89</v>
      </c>
      <c r="O144" s="4">
        <v>66</v>
      </c>
      <c r="P144" s="4">
        <v>66.130054261231507</v>
      </c>
      <c r="Q144" s="4">
        <v>74.772768088318102</v>
      </c>
      <c r="R144" s="8"/>
      <c r="S144" s="7" t="s">
        <v>34</v>
      </c>
      <c r="T144" s="4">
        <v>329343</v>
      </c>
      <c r="U144" s="4">
        <v>1003893</v>
      </c>
      <c r="V144" s="4">
        <v>662</v>
      </c>
      <c r="W144" s="4">
        <v>122400</v>
      </c>
      <c r="X144" s="4">
        <v>200096</v>
      </c>
      <c r="Y144" s="4">
        <v>800700</v>
      </c>
      <c r="Z144" s="4">
        <v>120000</v>
      </c>
      <c r="AA144" s="4">
        <v>5497</v>
      </c>
      <c r="AB144" s="4">
        <v>76258</v>
      </c>
      <c r="AC144" s="4">
        <v>936386</v>
      </c>
      <c r="AD144" s="4">
        <v>662</v>
      </c>
      <c r="AE144" s="4">
        <v>25030</v>
      </c>
      <c r="AF144" s="4">
        <v>1038336</v>
      </c>
      <c r="AG144" s="6">
        <v>81715</v>
      </c>
      <c r="AH144" s="6">
        <v>74535</v>
      </c>
      <c r="AI144" s="6">
        <v>7180</v>
      </c>
      <c r="AJ144" s="6">
        <v>26017</v>
      </c>
      <c r="AK144" s="6">
        <v>3.7</v>
      </c>
      <c r="AL144" s="4">
        <v>1439</v>
      </c>
      <c r="AM144" s="4">
        <v>17147</v>
      </c>
      <c r="AN144" s="4">
        <v>625</v>
      </c>
      <c r="AO144" s="6">
        <v>141366</v>
      </c>
      <c r="AP144" s="6">
        <v>20378</v>
      </c>
      <c r="AQ144" s="6">
        <v>47765</v>
      </c>
      <c r="AR144" s="6">
        <v>73223</v>
      </c>
      <c r="AS144" s="6">
        <v>90.8</v>
      </c>
      <c r="AT144" s="6">
        <v>83.8</v>
      </c>
      <c r="AU144" s="6">
        <v>64.2</v>
      </c>
      <c r="AV144" s="4">
        <v>282</v>
      </c>
      <c r="AW144" s="4">
        <v>218</v>
      </c>
    </row>
    <row r="145" spans="1:49" x14ac:dyDescent="0.2">
      <c r="A145" s="1">
        <v>44582</v>
      </c>
      <c r="B145">
        <f t="shared" ref="B145:B149" si="19">B144</f>
        <v>-4.32</v>
      </c>
      <c r="C145" s="1" t="s">
        <v>57</v>
      </c>
      <c r="D145" s="1" t="s">
        <v>62</v>
      </c>
      <c r="E145" s="1" t="s">
        <v>65</v>
      </c>
      <c r="F145" s="1" t="s">
        <v>50</v>
      </c>
      <c r="G145">
        <v>2400</v>
      </c>
      <c r="H145" s="4">
        <v>69.41</v>
      </c>
      <c r="I145" s="4">
        <v>113</v>
      </c>
      <c r="J145" s="4">
        <v>62</v>
      </c>
      <c r="K145" s="8"/>
      <c r="L145" s="4">
        <v>81</v>
      </c>
      <c r="M145" s="4">
        <v>67</v>
      </c>
      <c r="N145" s="4">
        <v>91</v>
      </c>
      <c r="O145" s="4">
        <v>57</v>
      </c>
      <c r="P145" s="4">
        <v>50.8946021252574</v>
      </c>
      <c r="Q145" s="4">
        <v>72.800146486048703</v>
      </c>
      <c r="R145" s="8"/>
      <c r="S145" s="7" t="s">
        <v>34</v>
      </c>
      <c r="T145" s="4">
        <v>376270</v>
      </c>
      <c r="U145" s="4">
        <v>1004976</v>
      </c>
      <c r="V145" s="4">
        <v>1828</v>
      </c>
      <c r="W145" s="4">
        <v>122400</v>
      </c>
      <c r="X145" s="4">
        <v>200096</v>
      </c>
      <c r="Y145" s="4">
        <v>800700</v>
      </c>
      <c r="Z145" s="4">
        <v>120000</v>
      </c>
      <c r="AA145" s="4">
        <v>6580</v>
      </c>
      <c r="AB145" s="4">
        <v>95878</v>
      </c>
      <c r="AC145" s="4">
        <v>1109554</v>
      </c>
      <c r="AD145" s="4">
        <v>1314</v>
      </c>
      <c r="AE145" s="4">
        <v>13633</v>
      </c>
      <c r="AF145" s="4">
        <v>1220379</v>
      </c>
      <c r="AG145" s="6">
        <v>91562</v>
      </c>
      <c r="AH145" s="6">
        <v>83156</v>
      </c>
      <c r="AI145" s="6">
        <v>8406</v>
      </c>
      <c r="AJ145" s="6">
        <v>6553</v>
      </c>
      <c r="AK145" s="6">
        <v>0.9</v>
      </c>
      <c r="AL145" s="4">
        <v>1676</v>
      </c>
      <c r="AM145" s="4">
        <v>17780</v>
      </c>
      <c r="AN145" s="4">
        <v>640</v>
      </c>
      <c r="AO145" s="6">
        <v>123034</v>
      </c>
      <c r="AP145" s="6">
        <v>17532</v>
      </c>
      <c r="AQ145" s="6">
        <v>34034</v>
      </c>
      <c r="AR145" s="6">
        <v>71468</v>
      </c>
      <c r="AS145" s="6">
        <v>90.8</v>
      </c>
      <c r="AT145" s="6">
        <v>83.7</v>
      </c>
      <c r="AU145" s="6">
        <v>64</v>
      </c>
      <c r="AV145" s="4">
        <v>306</v>
      </c>
      <c r="AW145" s="4">
        <v>246</v>
      </c>
    </row>
    <row r="146" spans="1:49" x14ac:dyDescent="0.2">
      <c r="A146" s="1">
        <v>44581</v>
      </c>
      <c r="B146">
        <f t="shared" si="19"/>
        <v>-4.32</v>
      </c>
      <c r="C146" s="1" t="s">
        <v>57</v>
      </c>
      <c r="D146" s="1" t="s">
        <v>62</v>
      </c>
      <c r="E146" s="1" t="s">
        <v>65</v>
      </c>
      <c r="F146" s="1" t="s">
        <v>50</v>
      </c>
      <c r="G146">
        <v>2397</v>
      </c>
      <c r="H146" s="4">
        <v>62.61</v>
      </c>
      <c r="I146" s="4">
        <v>113</v>
      </c>
      <c r="J146" s="4">
        <v>61</v>
      </c>
      <c r="K146" s="8"/>
      <c r="L146" s="4">
        <v>90</v>
      </c>
      <c r="M146" s="4">
        <v>69</v>
      </c>
      <c r="N146" s="4">
        <v>91</v>
      </c>
      <c r="O146" s="4">
        <v>55</v>
      </c>
      <c r="P146" s="4">
        <v>51.493110047748402</v>
      </c>
      <c r="Q146" s="4">
        <v>72.590616155781802</v>
      </c>
      <c r="R146" s="8"/>
      <c r="S146" s="7" t="s">
        <v>34</v>
      </c>
      <c r="T146" s="4">
        <v>427700</v>
      </c>
      <c r="U146" s="4">
        <v>993726</v>
      </c>
      <c r="V146" s="4">
        <v>3428</v>
      </c>
      <c r="W146" s="4">
        <v>122400</v>
      </c>
      <c r="X146" s="4">
        <v>200065</v>
      </c>
      <c r="Y146" s="4">
        <v>788700</v>
      </c>
      <c r="Z146" s="4">
        <v>120000</v>
      </c>
      <c r="AA146" s="4">
        <v>7361</v>
      </c>
      <c r="AB146" s="4">
        <v>100363</v>
      </c>
      <c r="AC146" s="4">
        <v>1245405</v>
      </c>
      <c r="AD146" s="4">
        <v>1710</v>
      </c>
      <c r="AE146" s="4">
        <v>24409</v>
      </c>
      <c r="AF146" s="4">
        <v>1371887</v>
      </c>
      <c r="AG146" s="6">
        <v>100314</v>
      </c>
      <c r="AH146" s="6">
        <v>91034</v>
      </c>
      <c r="AI146" s="6">
        <v>9280</v>
      </c>
      <c r="AJ146" s="6">
        <v>-32661</v>
      </c>
      <c r="AK146" s="6">
        <v>-4.2999999999999901</v>
      </c>
      <c r="AL146" s="4">
        <v>1912</v>
      </c>
      <c r="AM146" s="4">
        <v>18219</v>
      </c>
      <c r="AN146" s="4">
        <v>664</v>
      </c>
      <c r="AO146" s="6">
        <v>116683</v>
      </c>
      <c r="AP146" s="6">
        <v>17806</v>
      </c>
      <c r="AQ146" s="6">
        <v>33674</v>
      </c>
      <c r="AR146" s="6">
        <v>65203</v>
      </c>
      <c r="AS146" s="6">
        <v>90.7</v>
      </c>
      <c r="AT146" s="6">
        <v>83.6</v>
      </c>
      <c r="AU146" s="6">
        <v>63.9</v>
      </c>
      <c r="AV146" s="4">
        <v>256</v>
      </c>
      <c r="AW146" s="4">
        <v>198</v>
      </c>
    </row>
    <row r="147" spans="1:49" x14ac:dyDescent="0.2">
      <c r="A147" s="1">
        <v>44580</v>
      </c>
      <c r="B147">
        <f t="shared" si="19"/>
        <v>-4.32</v>
      </c>
      <c r="C147" s="1" t="s">
        <v>57</v>
      </c>
      <c r="D147" s="1" t="s">
        <v>62</v>
      </c>
      <c r="E147" s="1" t="s">
        <v>65</v>
      </c>
      <c r="F147" s="1" t="s">
        <v>50</v>
      </c>
      <c r="G147">
        <v>2390</v>
      </c>
      <c r="H147" s="4">
        <v>59.09</v>
      </c>
      <c r="I147" s="4">
        <v>113</v>
      </c>
      <c r="J147" s="4">
        <v>60</v>
      </c>
      <c r="K147" s="8"/>
      <c r="L147" s="4">
        <v>89</v>
      </c>
      <c r="M147" s="4">
        <v>67</v>
      </c>
      <c r="N147" s="4">
        <v>90</v>
      </c>
      <c r="O147" s="4">
        <v>54</v>
      </c>
      <c r="P147" s="4">
        <v>48.912747296995398</v>
      </c>
      <c r="Q147" s="4">
        <v>71.205590357456998</v>
      </c>
      <c r="R147" s="8"/>
      <c r="S147" s="7" t="s">
        <v>34</v>
      </c>
      <c r="T147" s="4">
        <v>448033</v>
      </c>
      <c r="U147" s="4">
        <v>997111</v>
      </c>
      <c r="V147" s="4">
        <v>3358</v>
      </c>
      <c r="W147" s="4">
        <v>122400</v>
      </c>
      <c r="X147" s="4">
        <v>200065</v>
      </c>
      <c r="Y147" s="4">
        <v>788700</v>
      </c>
      <c r="Z147" s="4">
        <v>120000</v>
      </c>
      <c r="AA147" s="4">
        <v>10746</v>
      </c>
      <c r="AB147" s="4">
        <v>110451</v>
      </c>
      <c r="AC147" s="4">
        <v>1399104</v>
      </c>
      <c r="AD147" s="4">
        <v>1261</v>
      </c>
      <c r="AE147" s="4">
        <v>24841</v>
      </c>
      <c r="AF147" s="4">
        <v>1535657</v>
      </c>
      <c r="AG147" s="6">
        <v>111749</v>
      </c>
      <c r="AH147" s="6">
        <v>101241</v>
      </c>
      <c r="AI147" s="6">
        <v>10508</v>
      </c>
      <c r="AJ147" s="6">
        <v>-113140</v>
      </c>
      <c r="AK147" s="6">
        <v>-13.5999999999999</v>
      </c>
      <c r="AL147" s="4">
        <v>1991</v>
      </c>
      <c r="AM147" s="4">
        <v>18730</v>
      </c>
      <c r="AN147" s="4">
        <v>675</v>
      </c>
      <c r="AO147" s="6">
        <v>113612</v>
      </c>
      <c r="AP147" s="6">
        <v>16949</v>
      </c>
      <c r="AQ147" s="6">
        <v>29893</v>
      </c>
      <c r="AR147" s="6">
        <v>66770</v>
      </c>
      <c r="AS147" s="6">
        <v>90.7</v>
      </c>
      <c r="AT147" s="6">
        <v>83.6</v>
      </c>
      <c r="AU147" s="6">
        <v>63.8</v>
      </c>
      <c r="AV147" s="4">
        <v>281</v>
      </c>
      <c r="AW147" s="4">
        <v>216</v>
      </c>
    </row>
    <row r="148" spans="1:49" x14ac:dyDescent="0.2">
      <c r="A148" s="1">
        <v>44579</v>
      </c>
      <c r="B148">
        <f t="shared" si="19"/>
        <v>-4.32</v>
      </c>
      <c r="C148" s="1" t="s">
        <v>57</v>
      </c>
      <c r="D148" s="1" t="s">
        <v>62</v>
      </c>
      <c r="E148" s="1" t="s">
        <v>65</v>
      </c>
      <c r="F148" s="1" t="s">
        <v>50</v>
      </c>
      <c r="G148">
        <v>2383</v>
      </c>
      <c r="H148" s="4">
        <v>54.15</v>
      </c>
      <c r="I148" s="4">
        <v>113</v>
      </c>
      <c r="J148" s="4">
        <v>58</v>
      </c>
      <c r="K148" s="8"/>
      <c r="L148" s="4">
        <v>90</v>
      </c>
      <c r="M148" s="4">
        <v>66</v>
      </c>
      <c r="N148" s="4">
        <v>89</v>
      </c>
      <c r="O148" s="4">
        <v>54</v>
      </c>
      <c r="P148" s="4">
        <v>48.206342274366101</v>
      </c>
      <c r="Q148" s="4">
        <v>71.584797215341396</v>
      </c>
      <c r="R148" s="8"/>
      <c r="S148" s="7" t="s">
        <v>34</v>
      </c>
      <c r="T148" s="4">
        <v>431505</v>
      </c>
      <c r="U148" s="4">
        <v>993348</v>
      </c>
      <c r="V148" s="4">
        <v>3203</v>
      </c>
      <c r="W148" s="4">
        <v>122400</v>
      </c>
      <c r="X148" s="4">
        <v>200065</v>
      </c>
      <c r="Y148" s="4">
        <v>788700</v>
      </c>
      <c r="Z148" s="4">
        <v>120000</v>
      </c>
      <c r="AA148" s="4">
        <v>6983</v>
      </c>
      <c r="AB148" s="4">
        <v>109703</v>
      </c>
      <c r="AC148" s="4">
        <v>1184006</v>
      </c>
      <c r="AD148" s="4">
        <v>1359</v>
      </c>
      <c r="AE148" s="4">
        <v>18702</v>
      </c>
      <c r="AF148" s="4">
        <v>1313770</v>
      </c>
      <c r="AG148" s="6">
        <v>118736</v>
      </c>
      <c r="AH148" s="6">
        <v>107494</v>
      </c>
      <c r="AI148" s="6">
        <v>11242</v>
      </c>
      <c r="AJ148" s="6">
        <v>-240608</v>
      </c>
      <c r="AK148" s="6">
        <v>-25.3</v>
      </c>
      <c r="AL148" s="4">
        <v>2013</v>
      </c>
      <c r="AM148" s="4">
        <v>19227</v>
      </c>
      <c r="AN148" s="4">
        <v>703</v>
      </c>
      <c r="AO148" s="6">
        <v>122554</v>
      </c>
      <c r="AP148" s="6">
        <v>18032</v>
      </c>
      <c r="AQ148" s="6">
        <v>29434</v>
      </c>
      <c r="AR148" s="6">
        <v>75088</v>
      </c>
      <c r="AS148" s="6">
        <v>90.7</v>
      </c>
      <c r="AT148" s="6">
        <v>83.5</v>
      </c>
      <c r="AU148" s="6">
        <v>63.7</v>
      </c>
      <c r="AV148" s="4">
        <v>288</v>
      </c>
      <c r="AW148" s="4">
        <v>226</v>
      </c>
    </row>
    <row r="149" spans="1:49" x14ac:dyDescent="0.2">
      <c r="A149" s="1">
        <v>44578</v>
      </c>
      <c r="B149">
        <f t="shared" si="19"/>
        <v>-4.32</v>
      </c>
      <c r="C149" s="1" t="s">
        <v>57</v>
      </c>
      <c r="D149" s="1" t="s">
        <v>62</v>
      </c>
      <c r="E149" s="1" t="s">
        <v>65</v>
      </c>
      <c r="F149" s="1" t="s">
        <v>50</v>
      </c>
      <c r="G149">
        <v>2386</v>
      </c>
      <c r="H149" s="4">
        <v>49.46</v>
      </c>
      <c r="I149" s="4">
        <v>113</v>
      </c>
      <c r="J149" s="4">
        <v>59</v>
      </c>
      <c r="K149" s="8"/>
      <c r="L149" s="4">
        <v>109</v>
      </c>
      <c r="M149" s="4">
        <v>69</v>
      </c>
      <c r="N149" s="4">
        <v>92</v>
      </c>
      <c r="O149" s="4">
        <v>54</v>
      </c>
      <c r="P149" s="4">
        <v>46.868697559552899</v>
      </c>
      <c r="Q149" s="4">
        <v>71.4933736315255</v>
      </c>
      <c r="R149" s="8"/>
      <c r="S149" s="7" t="s">
        <v>34</v>
      </c>
      <c r="T149" s="4">
        <v>265292</v>
      </c>
      <c r="U149" s="4">
        <v>960181</v>
      </c>
      <c r="V149" s="4">
        <v>2808</v>
      </c>
      <c r="W149" s="4">
        <v>122400</v>
      </c>
      <c r="X149" s="4">
        <v>200065</v>
      </c>
      <c r="Y149" s="4">
        <v>758700</v>
      </c>
      <c r="Z149" s="4">
        <v>120000</v>
      </c>
      <c r="AA149" s="4">
        <v>3816</v>
      </c>
      <c r="AB149" s="4">
        <v>107545</v>
      </c>
      <c r="AC149" s="4">
        <v>1259476</v>
      </c>
      <c r="AD149" s="4">
        <v>1082</v>
      </c>
      <c r="AE149" s="4">
        <v>14644</v>
      </c>
      <c r="AF149" s="4">
        <v>1382747</v>
      </c>
      <c r="AG149" s="6">
        <v>131503</v>
      </c>
      <c r="AH149" s="6">
        <v>118970</v>
      </c>
      <c r="AI149" s="6">
        <v>12533</v>
      </c>
      <c r="AJ149" s="6">
        <v>-404518</v>
      </c>
      <c r="AK149" s="6">
        <v>-36.299999999999898</v>
      </c>
      <c r="AL149" s="4">
        <v>2028</v>
      </c>
      <c r="AM149" s="4">
        <v>19664</v>
      </c>
      <c r="AN149" s="4">
        <v>713</v>
      </c>
      <c r="AO149" s="6">
        <v>115517</v>
      </c>
      <c r="AP149" s="6">
        <v>15748</v>
      </c>
      <c r="AQ149" s="6">
        <v>26502</v>
      </c>
      <c r="AR149" s="6">
        <v>73267</v>
      </c>
      <c r="AS149" s="6">
        <v>90.7</v>
      </c>
      <c r="AT149" s="6">
        <v>83.4</v>
      </c>
      <c r="AU149" s="6">
        <v>63.6</v>
      </c>
      <c r="AV149" s="4">
        <v>296</v>
      </c>
      <c r="AW149" s="4">
        <v>228</v>
      </c>
    </row>
    <row r="150" spans="1:49" x14ac:dyDescent="0.2">
      <c r="A150" s="1">
        <v>44577</v>
      </c>
      <c r="B150">
        <v>-3.89</v>
      </c>
      <c r="C150" s="1" t="s">
        <v>57</v>
      </c>
      <c r="D150" s="1" t="s">
        <v>62</v>
      </c>
      <c r="E150" s="1" t="s">
        <v>65</v>
      </c>
      <c r="F150" s="1" t="s">
        <v>50</v>
      </c>
      <c r="G150">
        <v>2396</v>
      </c>
      <c r="H150" s="4">
        <v>77.41</v>
      </c>
      <c r="I150" s="4">
        <v>104</v>
      </c>
      <c r="J150" s="4">
        <v>91</v>
      </c>
      <c r="K150" s="8"/>
      <c r="L150" s="4">
        <v>103</v>
      </c>
      <c r="M150" s="4">
        <v>72</v>
      </c>
      <c r="N150" s="4">
        <v>86</v>
      </c>
      <c r="O150" s="4">
        <v>64</v>
      </c>
      <c r="P150" s="4">
        <v>64.621589268980003</v>
      </c>
      <c r="Q150" s="4">
        <v>78.5116973487374</v>
      </c>
      <c r="R150" s="8"/>
      <c r="S150" s="7" t="s">
        <v>34</v>
      </c>
      <c r="T150" s="4">
        <v>277616</v>
      </c>
      <c r="U150" s="4">
        <v>954648</v>
      </c>
      <c r="V150" s="4">
        <v>419</v>
      </c>
      <c r="W150" s="4">
        <v>122400</v>
      </c>
      <c r="X150" s="4">
        <v>200065</v>
      </c>
      <c r="Y150" s="4">
        <v>743700</v>
      </c>
      <c r="Z150" s="4">
        <v>120000</v>
      </c>
      <c r="AA150" s="4">
        <v>13283</v>
      </c>
      <c r="AB150" s="4">
        <v>79042</v>
      </c>
      <c r="AC150" s="4">
        <v>1169057</v>
      </c>
      <c r="AD150" s="4">
        <v>419</v>
      </c>
      <c r="AE150" s="4">
        <v>27002</v>
      </c>
      <c r="AF150" s="4">
        <v>1275520</v>
      </c>
      <c r="AG150" s="6">
        <v>98075</v>
      </c>
      <c r="AH150" s="6">
        <v>89126</v>
      </c>
      <c r="AI150" s="6">
        <v>8949</v>
      </c>
      <c r="AJ150" s="6">
        <v>-500262</v>
      </c>
      <c r="AK150" s="6">
        <v>-41.299999999999898</v>
      </c>
      <c r="AL150" s="4">
        <v>1942</v>
      </c>
      <c r="AM150" s="4">
        <v>19429</v>
      </c>
      <c r="AN150" s="4">
        <v>715</v>
      </c>
      <c r="AO150" s="6">
        <v>115912</v>
      </c>
      <c r="AP150" s="6">
        <v>17700</v>
      </c>
      <c r="AQ150" s="6">
        <v>37116</v>
      </c>
      <c r="AR150" s="6">
        <v>61096</v>
      </c>
      <c r="AS150" s="6">
        <v>90.6</v>
      </c>
      <c r="AT150" s="6">
        <v>83.4</v>
      </c>
      <c r="AU150" s="6">
        <v>63.4</v>
      </c>
      <c r="AV150" s="4">
        <v>294</v>
      </c>
      <c r="AW150" s="4">
        <v>250</v>
      </c>
    </row>
    <row r="151" spans="1:49" x14ac:dyDescent="0.2">
      <c r="A151" s="1">
        <v>44576</v>
      </c>
      <c r="B151">
        <f>B150</f>
        <v>-3.89</v>
      </c>
      <c r="C151" s="1" t="s">
        <v>57</v>
      </c>
      <c r="D151" s="1" t="s">
        <v>62</v>
      </c>
      <c r="E151" s="1" t="s">
        <v>65</v>
      </c>
      <c r="F151" s="1" t="s">
        <v>50</v>
      </c>
      <c r="G151">
        <v>2417</v>
      </c>
      <c r="H151" s="4">
        <v>83.11</v>
      </c>
      <c r="I151" s="4">
        <v>105</v>
      </c>
      <c r="J151" s="4">
        <v>88</v>
      </c>
      <c r="K151" s="8"/>
      <c r="L151" s="4">
        <v>75</v>
      </c>
      <c r="M151" s="4">
        <v>68</v>
      </c>
      <c r="N151" s="4">
        <v>88</v>
      </c>
      <c r="O151" s="4">
        <v>64</v>
      </c>
      <c r="P151" s="4">
        <v>59.833191068182899</v>
      </c>
      <c r="Q151" s="4">
        <v>73.521041423768594</v>
      </c>
      <c r="R151" s="8"/>
      <c r="S151" s="7" t="s">
        <v>34</v>
      </c>
      <c r="T151" s="4">
        <v>363397</v>
      </c>
      <c r="U151" s="4">
        <v>957480</v>
      </c>
      <c r="V151" s="4">
        <v>608</v>
      </c>
      <c r="W151" s="4">
        <v>122400</v>
      </c>
      <c r="X151" s="4">
        <v>200065</v>
      </c>
      <c r="Y151" s="4">
        <v>753700</v>
      </c>
      <c r="Z151" s="4">
        <v>120000</v>
      </c>
      <c r="AA151" s="4">
        <v>6115</v>
      </c>
      <c r="AB151" s="4">
        <v>74039</v>
      </c>
      <c r="AC151" s="4">
        <v>970727</v>
      </c>
      <c r="AD151" s="4">
        <v>608</v>
      </c>
      <c r="AE151" s="4">
        <v>25719</v>
      </c>
      <c r="AF151" s="4">
        <v>1071093</v>
      </c>
      <c r="AG151" s="6">
        <v>77926</v>
      </c>
      <c r="AH151" s="6">
        <v>71289</v>
      </c>
      <c r="AI151" s="6">
        <v>6637</v>
      </c>
      <c r="AJ151" s="6">
        <v>-587882</v>
      </c>
      <c r="AK151" s="6">
        <v>-45.399999999999899</v>
      </c>
      <c r="AL151" s="4">
        <v>1788</v>
      </c>
      <c r="AM151" s="4">
        <v>19305</v>
      </c>
      <c r="AN151" s="4">
        <v>712</v>
      </c>
      <c r="AO151" s="6">
        <v>194251</v>
      </c>
      <c r="AP151" s="6">
        <v>27409</v>
      </c>
      <c r="AQ151" s="6">
        <v>58050</v>
      </c>
      <c r="AR151" s="6">
        <v>108792</v>
      </c>
      <c r="AS151" s="6">
        <v>90.6</v>
      </c>
      <c r="AT151" s="6">
        <v>83.3</v>
      </c>
      <c r="AU151" s="6">
        <v>63.3</v>
      </c>
      <c r="AV151" s="4">
        <v>296</v>
      </c>
      <c r="AW151" s="4">
        <v>256</v>
      </c>
    </row>
    <row r="152" spans="1:49" x14ac:dyDescent="0.2">
      <c r="A152" s="1">
        <v>44575</v>
      </c>
      <c r="B152">
        <f t="shared" ref="B152:B156" si="20">B151</f>
        <v>-3.89</v>
      </c>
      <c r="C152" s="1" t="s">
        <v>57</v>
      </c>
      <c r="D152" s="1" t="s">
        <v>62</v>
      </c>
      <c r="E152" s="1" t="s">
        <v>65</v>
      </c>
      <c r="F152" s="1" t="s">
        <v>50</v>
      </c>
      <c r="G152">
        <v>2443</v>
      </c>
      <c r="H152" s="4">
        <v>66.27</v>
      </c>
      <c r="I152" s="4">
        <v>113</v>
      </c>
      <c r="J152" s="4">
        <v>61</v>
      </c>
      <c r="K152" s="8"/>
      <c r="L152" s="4">
        <v>88</v>
      </c>
      <c r="M152" s="4">
        <v>66</v>
      </c>
      <c r="N152" s="4">
        <v>92</v>
      </c>
      <c r="O152" s="4">
        <v>55</v>
      </c>
      <c r="P152" s="4">
        <v>48.589703093779001</v>
      </c>
      <c r="Q152" s="4">
        <v>72.033984634859394</v>
      </c>
      <c r="R152" s="8"/>
      <c r="S152" s="7" t="s">
        <v>34</v>
      </c>
      <c r="T152" s="4">
        <v>412732</v>
      </c>
      <c r="U152" s="4">
        <v>965764</v>
      </c>
      <c r="V152" s="4">
        <v>3736</v>
      </c>
      <c r="W152" s="4">
        <v>122400</v>
      </c>
      <c r="X152" s="4">
        <v>200065</v>
      </c>
      <c r="Y152" s="4">
        <v>753500</v>
      </c>
      <c r="Z152" s="4">
        <v>120000</v>
      </c>
      <c r="AA152" s="4">
        <v>14599</v>
      </c>
      <c r="AB152" s="4">
        <v>98379</v>
      </c>
      <c r="AC152" s="4">
        <v>1126592</v>
      </c>
      <c r="AD152" s="4">
        <v>1615</v>
      </c>
      <c r="AE152" s="4">
        <v>30671</v>
      </c>
      <c r="AF152" s="4">
        <v>1257257</v>
      </c>
      <c r="AG152" s="6">
        <v>86312</v>
      </c>
      <c r="AH152" s="6">
        <v>78637</v>
      </c>
      <c r="AI152" s="6">
        <v>7675</v>
      </c>
      <c r="AJ152" s="6">
        <v>-596812</v>
      </c>
      <c r="AK152" s="6">
        <v>-45.2</v>
      </c>
      <c r="AL152" s="4">
        <v>1941</v>
      </c>
      <c r="AM152" s="4">
        <v>19551</v>
      </c>
      <c r="AN152" s="4">
        <v>746</v>
      </c>
      <c r="AO152" s="6">
        <v>163764</v>
      </c>
      <c r="AP152" s="6">
        <v>20878</v>
      </c>
      <c r="AQ152" s="6">
        <v>31182</v>
      </c>
      <c r="AR152" s="6">
        <v>111704</v>
      </c>
      <c r="AS152" s="6">
        <v>90.5</v>
      </c>
      <c r="AT152" s="6">
        <v>83.2</v>
      </c>
      <c r="AU152" s="6">
        <v>63.1</v>
      </c>
      <c r="AV152" s="4">
        <v>280</v>
      </c>
      <c r="AW152" s="4">
        <v>231</v>
      </c>
    </row>
    <row r="153" spans="1:49" x14ac:dyDescent="0.2">
      <c r="A153" s="1">
        <v>44574</v>
      </c>
      <c r="B153">
        <f t="shared" si="20"/>
        <v>-3.89</v>
      </c>
      <c r="C153" s="1" t="s">
        <v>57</v>
      </c>
      <c r="D153" s="1" t="s">
        <v>62</v>
      </c>
      <c r="E153" s="1" t="s">
        <v>65</v>
      </c>
      <c r="F153" s="1" t="s">
        <v>50</v>
      </c>
      <c r="G153">
        <v>2555</v>
      </c>
      <c r="H153" s="4">
        <v>53.9</v>
      </c>
      <c r="I153" s="4">
        <v>114</v>
      </c>
      <c r="J153" s="4">
        <v>59</v>
      </c>
      <c r="K153" s="8"/>
      <c r="L153" s="4">
        <v>95</v>
      </c>
      <c r="M153" s="4">
        <v>66</v>
      </c>
      <c r="N153" s="4">
        <v>92</v>
      </c>
      <c r="O153" s="4">
        <v>52</v>
      </c>
      <c r="P153" s="4">
        <v>46.858153077372002</v>
      </c>
      <c r="Q153" s="4">
        <v>69.438665203148304</v>
      </c>
      <c r="R153" s="8"/>
      <c r="S153" s="7" t="s">
        <v>34</v>
      </c>
      <c r="T153" s="4">
        <v>464296</v>
      </c>
      <c r="U153" s="4">
        <v>938335</v>
      </c>
      <c r="V153" s="4">
        <v>3768</v>
      </c>
      <c r="W153" s="4">
        <v>122400</v>
      </c>
      <c r="X153" s="4">
        <v>200206</v>
      </c>
      <c r="Y153" s="4">
        <v>723500</v>
      </c>
      <c r="Z153" s="4">
        <v>120000</v>
      </c>
      <c r="AA153" s="4">
        <v>17029</v>
      </c>
      <c r="AB153" s="4">
        <v>98184</v>
      </c>
      <c r="AC153" s="4">
        <v>1284431</v>
      </c>
      <c r="AD153" s="4">
        <v>1625</v>
      </c>
      <c r="AE153" s="4">
        <v>25078</v>
      </c>
      <c r="AF153" s="4">
        <v>1409318</v>
      </c>
      <c r="AG153" s="6">
        <v>96397</v>
      </c>
      <c r="AH153" s="6">
        <v>87537</v>
      </c>
      <c r="AI153" s="6">
        <v>8860</v>
      </c>
      <c r="AJ153" s="6">
        <v>-631127</v>
      </c>
      <c r="AK153" s="6">
        <v>-45.5</v>
      </c>
      <c r="AL153" s="4">
        <v>2167</v>
      </c>
      <c r="AM153" s="4">
        <v>19766</v>
      </c>
      <c r="AN153" s="4">
        <v>777</v>
      </c>
      <c r="AO153" s="6">
        <v>164567</v>
      </c>
      <c r="AP153" s="6">
        <v>20521</v>
      </c>
      <c r="AQ153" s="6">
        <v>32197</v>
      </c>
      <c r="AR153" s="6">
        <v>111849</v>
      </c>
      <c r="AS153" s="6">
        <v>90.5</v>
      </c>
      <c r="AT153" s="6">
        <v>83.2</v>
      </c>
      <c r="AU153" s="6">
        <v>62.9</v>
      </c>
      <c r="AV153" s="4">
        <v>284</v>
      </c>
      <c r="AW153" s="4">
        <v>236</v>
      </c>
    </row>
    <row r="154" spans="1:49" x14ac:dyDescent="0.2">
      <c r="A154" s="1">
        <v>44573</v>
      </c>
      <c r="B154">
        <f t="shared" si="20"/>
        <v>-3.89</v>
      </c>
      <c r="C154" s="1" t="s">
        <v>57</v>
      </c>
      <c r="D154" s="1" t="s">
        <v>62</v>
      </c>
      <c r="E154" s="1" t="s">
        <v>65</v>
      </c>
      <c r="F154" s="1" t="s">
        <v>50</v>
      </c>
      <c r="G154">
        <v>2655</v>
      </c>
      <c r="H154" s="4">
        <v>52.56</v>
      </c>
      <c r="I154" s="4">
        <v>114</v>
      </c>
      <c r="J154" s="4">
        <v>59</v>
      </c>
      <c r="K154" s="8"/>
      <c r="L154" s="4">
        <v>100</v>
      </c>
      <c r="M154" s="4">
        <v>67</v>
      </c>
      <c r="N154" s="4">
        <v>91</v>
      </c>
      <c r="O154" s="4">
        <v>53</v>
      </c>
      <c r="P154" s="4">
        <v>46.7926599083846</v>
      </c>
      <c r="Q154" s="4">
        <v>69.574357847042904</v>
      </c>
      <c r="R154" s="8"/>
      <c r="S154" s="7" t="s">
        <v>34</v>
      </c>
      <c r="T154" s="4">
        <v>518150</v>
      </c>
      <c r="U154" s="4">
        <v>912799</v>
      </c>
      <c r="V154" s="4">
        <v>2708</v>
      </c>
      <c r="W154" s="4">
        <v>122400</v>
      </c>
      <c r="X154" s="4">
        <v>200206</v>
      </c>
      <c r="Y154" s="4">
        <v>700250</v>
      </c>
      <c r="Z154" s="4">
        <v>120000</v>
      </c>
      <c r="AA154" s="4">
        <v>14743</v>
      </c>
      <c r="AB154" s="4">
        <v>111370</v>
      </c>
      <c r="AC154" s="4">
        <v>1430215</v>
      </c>
      <c r="AD154" s="4">
        <v>1440</v>
      </c>
      <c r="AE154" s="4">
        <v>29152</v>
      </c>
      <c r="AF154" s="4">
        <v>1572177</v>
      </c>
      <c r="AG154" s="6">
        <v>103207</v>
      </c>
      <c r="AH154" s="6">
        <v>93474</v>
      </c>
      <c r="AI154" s="6">
        <v>9733</v>
      </c>
      <c r="AJ154" s="6">
        <v>-618171</v>
      </c>
      <c r="AK154" s="6">
        <v>-42.6</v>
      </c>
      <c r="AL154" s="4">
        <v>2204</v>
      </c>
      <c r="AM154" s="4">
        <v>19931</v>
      </c>
      <c r="AN154" s="4">
        <v>785</v>
      </c>
      <c r="AO154" s="6">
        <v>176492</v>
      </c>
      <c r="AP154" s="6">
        <v>19520</v>
      </c>
      <c r="AQ154" s="6">
        <v>30340</v>
      </c>
      <c r="AR154" s="6">
        <v>126632</v>
      </c>
      <c r="AS154" s="6">
        <v>90.5</v>
      </c>
      <c r="AT154" s="6">
        <v>83.1</v>
      </c>
      <c r="AU154" s="6">
        <v>62.7</v>
      </c>
      <c r="AV154" s="4">
        <v>260</v>
      </c>
      <c r="AW154" s="4">
        <v>236</v>
      </c>
    </row>
    <row r="155" spans="1:49" x14ac:dyDescent="0.2">
      <c r="A155" s="1">
        <v>44572</v>
      </c>
      <c r="B155">
        <f t="shared" si="20"/>
        <v>-3.89</v>
      </c>
      <c r="C155" s="1" t="s">
        <v>57</v>
      </c>
      <c r="D155" s="1" t="s">
        <v>62</v>
      </c>
      <c r="E155" s="1" t="s">
        <v>65</v>
      </c>
      <c r="F155" s="1" t="s">
        <v>50</v>
      </c>
      <c r="G155">
        <v>2760</v>
      </c>
      <c r="H155" s="4">
        <v>43.57</v>
      </c>
      <c r="I155" s="4">
        <v>115</v>
      </c>
      <c r="J155" s="4">
        <v>57</v>
      </c>
      <c r="K155" s="8"/>
      <c r="L155" s="4">
        <v>76</v>
      </c>
      <c r="M155" s="4">
        <v>62</v>
      </c>
      <c r="N155" s="4">
        <v>88</v>
      </c>
      <c r="O155" s="4">
        <v>51</v>
      </c>
      <c r="P155" s="4">
        <v>43.883896233150303</v>
      </c>
      <c r="Q155" s="4">
        <v>68.026752317627498</v>
      </c>
      <c r="R155" s="8"/>
      <c r="S155" s="7" t="s">
        <v>34</v>
      </c>
      <c r="T155" s="4">
        <v>548619</v>
      </c>
      <c r="U155" s="4">
        <v>876489</v>
      </c>
      <c r="V155" s="4">
        <v>3515</v>
      </c>
      <c r="W155" s="4">
        <v>122400</v>
      </c>
      <c r="X155" s="4">
        <v>200206</v>
      </c>
      <c r="Y155" s="4">
        <v>670250</v>
      </c>
      <c r="Z155" s="4">
        <v>120000</v>
      </c>
      <c r="AA155" s="4">
        <v>8433</v>
      </c>
      <c r="AB155" s="4">
        <v>124429</v>
      </c>
      <c r="AC155" s="4">
        <v>1257097</v>
      </c>
      <c r="AD155" s="4">
        <v>1612</v>
      </c>
      <c r="AE155" s="4">
        <v>24711</v>
      </c>
      <c r="AF155" s="4">
        <v>1407849</v>
      </c>
      <c r="AG155" s="6">
        <v>115222</v>
      </c>
      <c r="AH155" s="6">
        <v>104428</v>
      </c>
      <c r="AI155" s="6">
        <v>10794</v>
      </c>
      <c r="AJ155" s="6">
        <v>-549873</v>
      </c>
      <c r="AK155" s="6">
        <v>-36.6</v>
      </c>
      <c r="AL155" s="4">
        <v>2419</v>
      </c>
      <c r="AM155" s="4">
        <v>19958</v>
      </c>
      <c r="AN155" s="4">
        <v>793</v>
      </c>
      <c r="AO155" s="6">
        <v>187650</v>
      </c>
      <c r="AP155" s="6">
        <v>19276</v>
      </c>
      <c r="AQ155" s="6">
        <v>28790</v>
      </c>
      <c r="AR155" s="6">
        <v>139584</v>
      </c>
      <c r="AS155" s="6">
        <v>90.4</v>
      </c>
      <c r="AT155" s="6">
        <v>83.1</v>
      </c>
      <c r="AU155" s="6">
        <v>62.5</v>
      </c>
      <c r="AV155" s="4">
        <v>269</v>
      </c>
      <c r="AW155" s="4">
        <v>232</v>
      </c>
    </row>
    <row r="156" spans="1:49" x14ac:dyDescent="0.2">
      <c r="A156" s="1">
        <v>44571</v>
      </c>
      <c r="B156">
        <f t="shared" si="20"/>
        <v>-3.89</v>
      </c>
      <c r="C156" s="1" t="s">
        <v>57</v>
      </c>
      <c r="D156" s="1" t="s">
        <v>62</v>
      </c>
      <c r="E156" s="1" t="s">
        <v>65</v>
      </c>
      <c r="F156" s="1" t="s">
        <v>50</v>
      </c>
      <c r="G156">
        <v>2858</v>
      </c>
      <c r="H156" s="4">
        <v>41.04</v>
      </c>
      <c r="I156" s="4">
        <v>115</v>
      </c>
      <c r="J156" s="4">
        <v>57</v>
      </c>
      <c r="K156" s="8"/>
      <c r="L156" s="4">
        <v>90</v>
      </c>
      <c r="M156" s="4">
        <v>66</v>
      </c>
      <c r="N156" s="4">
        <v>92</v>
      </c>
      <c r="O156" s="4">
        <v>52</v>
      </c>
      <c r="P156" s="4">
        <v>42.955777069109601</v>
      </c>
      <c r="Q156" s="4">
        <v>67.831493700000806</v>
      </c>
      <c r="R156" s="8"/>
      <c r="S156" s="7" t="s">
        <v>34</v>
      </c>
      <c r="T156" s="4">
        <v>507243</v>
      </c>
      <c r="U156" s="4">
        <v>793106</v>
      </c>
      <c r="V156" s="4">
        <v>3419</v>
      </c>
      <c r="W156" s="4">
        <v>122400</v>
      </c>
      <c r="X156" s="4">
        <v>200006</v>
      </c>
      <c r="Y156" s="4">
        <v>593100</v>
      </c>
      <c r="Z156" s="4">
        <v>120000</v>
      </c>
      <c r="AA156" s="4">
        <v>2400</v>
      </c>
      <c r="AB156" s="4">
        <v>106175</v>
      </c>
      <c r="AC156" s="4">
        <v>1475340</v>
      </c>
      <c r="AD156" s="4">
        <v>1353</v>
      </c>
      <c r="AE156" s="4">
        <v>38007</v>
      </c>
      <c r="AF156" s="4">
        <v>1620875</v>
      </c>
      <c r="AG156" s="6">
        <v>132814</v>
      </c>
      <c r="AH156" s="6">
        <v>120290</v>
      </c>
      <c r="AI156" s="6">
        <v>12524</v>
      </c>
      <c r="AJ156" s="6">
        <v>-326307</v>
      </c>
      <c r="AK156" s="6">
        <v>-22.6999999999999</v>
      </c>
      <c r="AL156" s="4">
        <v>2459</v>
      </c>
      <c r="AM156" s="4">
        <v>20057</v>
      </c>
      <c r="AN156" s="4">
        <v>821</v>
      </c>
      <c r="AO156" s="6">
        <v>194177</v>
      </c>
      <c r="AP156" s="6">
        <v>17954</v>
      </c>
      <c r="AQ156" s="6">
        <v>26728</v>
      </c>
      <c r="AR156" s="6">
        <v>149495</v>
      </c>
      <c r="AS156" s="6">
        <v>90.4</v>
      </c>
      <c r="AT156" s="6">
        <v>83</v>
      </c>
      <c r="AU156" s="6">
        <v>62.3</v>
      </c>
      <c r="AV156" s="4">
        <v>278</v>
      </c>
      <c r="AW156" s="4">
        <v>238</v>
      </c>
    </row>
    <row r="157" spans="1:49" x14ac:dyDescent="0.2">
      <c r="A157" s="1">
        <v>44570</v>
      </c>
      <c r="B157">
        <v>1.24</v>
      </c>
      <c r="C157" s="1" t="s">
        <v>57</v>
      </c>
      <c r="D157" s="1" t="s">
        <v>62</v>
      </c>
      <c r="E157" s="1" t="s">
        <v>65</v>
      </c>
      <c r="F157" s="1" t="s">
        <v>50</v>
      </c>
      <c r="G157">
        <v>3003</v>
      </c>
      <c r="H157" s="4">
        <v>73.180000000000007</v>
      </c>
      <c r="I157" s="4">
        <v>105</v>
      </c>
      <c r="J157" s="4">
        <v>91</v>
      </c>
      <c r="K157" s="8"/>
      <c r="L157" s="4">
        <v>106</v>
      </c>
      <c r="M157" s="4">
        <v>72</v>
      </c>
      <c r="N157" s="4">
        <v>87</v>
      </c>
      <c r="O157" s="4">
        <v>62</v>
      </c>
      <c r="P157" s="4">
        <v>59.728495892416198</v>
      </c>
      <c r="Q157" s="4">
        <v>76.414623862810501</v>
      </c>
      <c r="R157" s="8"/>
      <c r="S157" s="7" t="s">
        <v>34</v>
      </c>
      <c r="T157" s="4">
        <v>589677</v>
      </c>
      <c r="U157" s="4">
        <v>821819</v>
      </c>
      <c r="V157" s="4">
        <v>506</v>
      </c>
      <c r="W157" s="4">
        <v>122400</v>
      </c>
      <c r="X157" s="4">
        <v>200006</v>
      </c>
      <c r="Y157" s="4">
        <v>616950</v>
      </c>
      <c r="Z157" s="4">
        <v>120000</v>
      </c>
      <c r="AA157" s="4">
        <v>7263</v>
      </c>
      <c r="AB157" s="4">
        <v>85802</v>
      </c>
      <c r="AC157" s="4">
        <v>1518038</v>
      </c>
      <c r="AD157" s="4">
        <v>506</v>
      </c>
      <c r="AE157" s="4">
        <v>30080</v>
      </c>
      <c r="AF157" s="4">
        <v>1634426</v>
      </c>
      <c r="AG157" s="6">
        <v>95759</v>
      </c>
      <c r="AH157" s="6">
        <v>86958</v>
      </c>
      <c r="AI157" s="6">
        <v>8801</v>
      </c>
      <c r="AJ157" s="6">
        <v>-194366</v>
      </c>
      <c r="AK157" s="6">
        <v>-13.8</v>
      </c>
      <c r="AL157" s="4">
        <v>2216</v>
      </c>
      <c r="AM157" s="4">
        <v>19250</v>
      </c>
      <c r="AN157" s="4">
        <v>816</v>
      </c>
      <c r="AO157" s="6">
        <v>195060</v>
      </c>
      <c r="AP157" s="6">
        <v>22205</v>
      </c>
      <c r="AQ157" s="6">
        <v>31360</v>
      </c>
      <c r="AR157" s="6">
        <v>141495</v>
      </c>
      <c r="AS157" s="6">
        <v>90.4</v>
      </c>
      <c r="AT157" s="6">
        <v>83</v>
      </c>
      <c r="AU157" s="6">
        <v>62</v>
      </c>
      <c r="AV157" s="4">
        <v>272</v>
      </c>
      <c r="AW157" s="4">
        <v>238</v>
      </c>
    </row>
    <row r="158" spans="1:49" x14ac:dyDescent="0.2">
      <c r="A158" s="1">
        <v>44569</v>
      </c>
      <c r="B158">
        <f>B157</f>
        <v>1.24</v>
      </c>
      <c r="C158" s="1" t="s">
        <v>57</v>
      </c>
      <c r="D158" s="1" t="s">
        <v>62</v>
      </c>
      <c r="E158" s="1" t="s">
        <v>65</v>
      </c>
      <c r="F158" s="1" t="s">
        <v>50</v>
      </c>
      <c r="G158">
        <v>3163</v>
      </c>
      <c r="H158" s="4">
        <v>67.61</v>
      </c>
      <c r="I158" s="4">
        <v>109</v>
      </c>
      <c r="J158" s="4">
        <v>85</v>
      </c>
      <c r="K158" s="8"/>
      <c r="L158" s="4">
        <v>48</v>
      </c>
      <c r="M158" s="4">
        <v>59</v>
      </c>
      <c r="N158" s="4">
        <v>80</v>
      </c>
      <c r="O158" s="4">
        <v>55</v>
      </c>
      <c r="P158" s="4">
        <v>48.890559508001701</v>
      </c>
      <c r="Q158" s="4">
        <v>62.5056758915469</v>
      </c>
      <c r="R158" s="8"/>
      <c r="S158" s="7" t="s">
        <v>34</v>
      </c>
      <c r="T158" s="4">
        <v>580949</v>
      </c>
      <c r="U158" s="4">
        <v>798733</v>
      </c>
      <c r="V158" s="4">
        <v>2390</v>
      </c>
      <c r="W158" s="4">
        <v>122400</v>
      </c>
      <c r="X158" s="4">
        <v>200006</v>
      </c>
      <c r="Y158" s="4">
        <v>594800</v>
      </c>
      <c r="Z158" s="4">
        <v>120000</v>
      </c>
      <c r="AA158" s="4">
        <v>6327</v>
      </c>
      <c r="AB158" s="4">
        <v>83357</v>
      </c>
      <c r="AC158" s="4">
        <v>1214014</v>
      </c>
      <c r="AD158" s="4">
        <v>831</v>
      </c>
      <c r="AE158" s="4">
        <v>15876</v>
      </c>
      <c r="AF158" s="4">
        <v>1314078</v>
      </c>
      <c r="AG158" s="6">
        <v>93601</v>
      </c>
      <c r="AH158" s="6">
        <v>84978</v>
      </c>
      <c r="AI158" s="6">
        <v>8623</v>
      </c>
      <c r="AJ158" s="6">
        <v>-44261</v>
      </c>
      <c r="AK158" s="6">
        <v>-3.2999999999999901</v>
      </c>
      <c r="AL158" s="4">
        <v>2099</v>
      </c>
      <c r="AM158" s="4">
        <v>18808</v>
      </c>
      <c r="AN158" s="4">
        <v>820</v>
      </c>
      <c r="AO158" s="6">
        <v>318409</v>
      </c>
      <c r="AP158" s="6">
        <v>31689</v>
      </c>
      <c r="AQ158" s="6">
        <v>51715</v>
      </c>
      <c r="AR158" s="6">
        <v>235005</v>
      </c>
      <c r="AS158" s="6">
        <v>90.3</v>
      </c>
      <c r="AT158" s="6">
        <v>82.9</v>
      </c>
      <c r="AU158" s="6">
        <v>61.8</v>
      </c>
      <c r="AV158" s="4">
        <v>243</v>
      </c>
      <c r="AW158" s="4">
        <v>212</v>
      </c>
    </row>
    <row r="159" spans="1:49" x14ac:dyDescent="0.2">
      <c r="A159" s="1">
        <v>44568</v>
      </c>
      <c r="B159">
        <f t="shared" ref="B159:B163" si="21">B158</f>
        <v>1.24</v>
      </c>
      <c r="C159" s="1" t="s">
        <v>57</v>
      </c>
      <c r="D159" s="1" t="s">
        <v>62</v>
      </c>
      <c r="E159" s="1" t="s">
        <v>65</v>
      </c>
      <c r="F159" s="1" t="s">
        <v>50</v>
      </c>
      <c r="G159">
        <v>3329</v>
      </c>
      <c r="H159" s="4">
        <v>54.88</v>
      </c>
      <c r="I159" s="4">
        <v>116</v>
      </c>
      <c r="J159" s="4">
        <v>58</v>
      </c>
      <c r="K159" s="8"/>
      <c r="L159" s="4">
        <v>73</v>
      </c>
      <c r="M159" s="4">
        <v>60</v>
      </c>
      <c r="N159" s="4">
        <v>89</v>
      </c>
      <c r="O159" s="4">
        <v>49</v>
      </c>
      <c r="P159" s="4">
        <v>41.611364696498001</v>
      </c>
      <c r="Q159" s="4">
        <v>65.558013669087799</v>
      </c>
      <c r="R159" s="8"/>
      <c r="S159" s="7" t="s">
        <v>34</v>
      </c>
      <c r="T159" s="4">
        <v>659311</v>
      </c>
      <c r="U159" s="4">
        <v>825790</v>
      </c>
      <c r="V159" s="4">
        <v>3914</v>
      </c>
      <c r="W159" s="4">
        <v>122400</v>
      </c>
      <c r="X159" s="4">
        <v>200006</v>
      </c>
      <c r="Y159" s="4">
        <v>620250</v>
      </c>
      <c r="Z159" s="4">
        <v>120000</v>
      </c>
      <c r="AA159" s="4">
        <v>7934</v>
      </c>
      <c r="AB159" s="4">
        <v>109736</v>
      </c>
      <c r="AC159" s="4">
        <v>1464155</v>
      </c>
      <c r="AD159" s="4">
        <v>1948</v>
      </c>
      <c r="AE159" s="4">
        <v>12298</v>
      </c>
      <c r="AF159" s="4">
        <v>1588137</v>
      </c>
      <c r="AG159" s="6">
        <v>120276</v>
      </c>
      <c r="AH159" s="6">
        <v>108568</v>
      </c>
      <c r="AI159" s="6">
        <v>11708</v>
      </c>
      <c r="AJ159" s="6">
        <v>28193</v>
      </c>
      <c r="AK159" s="6">
        <v>2.2000000000000002</v>
      </c>
      <c r="AL159" s="4">
        <v>2047</v>
      </c>
      <c r="AM159" s="4">
        <v>18872</v>
      </c>
      <c r="AN159" s="4">
        <v>840</v>
      </c>
      <c r="AO159" s="6">
        <v>280569</v>
      </c>
      <c r="AP159" s="6">
        <v>23422</v>
      </c>
      <c r="AQ159" s="6">
        <v>35627</v>
      </c>
      <c r="AR159" s="6">
        <v>221520</v>
      </c>
      <c r="AS159" s="6">
        <v>90.3</v>
      </c>
      <c r="AT159" s="6">
        <v>82.8</v>
      </c>
      <c r="AU159" s="6">
        <v>61.4</v>
      </c>
      <c r="AV159" s="4">
        <v>251</v>
      </c>
      <c r="AW159" s="4">
        <v>222</v>
      </c>
    </row>
    <row r="160" spans="1:49" x14ac:dyDescent="0.2">
      <c r="A160" s="1">
        <v>44567</v>
      </c>
      <c r="B160">
        <f t="shared" si="21"/>
        <v>1.24</v>
      </c>
      <c r="C160" s="1" t="s">
        <v>57</v>
      </c>
      <c r="D160" s="1" t="s">
        <v>62</v>
      </c>
      <c r="E160" s="1" t="s">
        <v>65</v>
      </c>
      <c r="F160" s="1" t="s">
        <v>50</v>
      </c>
      <c r="G160">
        <v>3360</v>
      </c>
      <c r="H160" s="4">
        <v>42.83</v>
      </c>
      <c r="I160" s="4">
        <v>118</v>
      </c>
      <c r="J160" s="4">
        <v>54</v>
      </c>
      <c r="K160" s="8"/>
      <c r="L160" s="4">
        <v>74</v>
      </c>
      <c r="M160" s="4">
        <v>59</v>
      </c>
      <c r="N160" s="4">
        <v>88</v>
      </c>
      <c r="O160" s="4">
        <v>47</v>
      </c>
      <c r="P160" s="4">
        <v>38.973003998840298</v>
      </c>
      <c r="Q160" s="4">
        <v>63.969968609027703</v>
      </c>
      <c r="R160" s="8"/>
      <c r="S160" s="7" t="s">
        <v>34</v>
      </c>
      <c r="T160" s="4">
        <v>674101</v>
      </c>
      <c r="U160" s="4">
        <v>848951</v>
      </c>
      <c r="V160" s="4">
        <v>2738</v>
      </c>
      <c r="W160" s="4">
        <v>122400</v>
      </c>
      <c r="X160" s="4">
        <v>200021</v>
      </c>
      <c r="Y160" s="4">
        <v>648930</v>
      </c>
      <c r="Z160" s="4">
        <v>120000</v>
      </c>
      <c r="AA160" s="4">
        <v>2400</v>
      </c>
      <c r="AB160" s="4">
        <v>118033</v>
      </c>
      <c r="AC160" s="4">
        <v>1668805</v>
      </c>
      <c r="AD160" s="4">
        <v>1777</v>
      </c>
      <c r="AE160" s="4">
        <v>10396</v>
      </c>
      <c r="AF160" s="4">
        <v>1799011</v>
      </c>
      <c r="AG160" s="6">
        <v>172959</v>
      </c>
      <c r="AH160" s="6">
        <v>154981</v>
      </c>
      <c r="AI160" s="6">
        <v>17978</v>
      </c>
      <c r="AJ160" s="6">
        <v>147765</v>
      </c>
      <c r="AK160" s="6">
        <v>11.9</v>
      </c>
      <c r="AL160" s="4">
        <v>2343</v>
      </c>
      <c r="AM160" s="4">
        <v>18690</v>
      </c>
      <c r="AN160" s="4">
        <v>868</v>
      </c>
      <c r="AO160" s="6">
        <v>289285</v>
      </c>
      <c r="AP160" s="6">
        <v>22741</v>
      </c>
      <c r="AQ160" s="6">
        <v>34688</v>
      </c>
      <c r="AR160" s="6">
        <v>231856</v>
      </c>
      <c r="AS160" s="6">
        <v>90.2</v>
      </c>
      <c r="AT160" s="6">
        <v>82.8</v>
      </c>
      <c r="AU160" s="6">
        <v>61</v>
      </c>
      <c r="AV160" s="4">
        <v>257</v>
      </c>
      <c r="AW160" s="4">
        <v>215</v>
      </c>
    </row>
    <row r="161" spans="1:49" x14ac:dyDescent="0.2">
      <c r="A161" s="1">
        <v>44566</v>
      </c>
      <c r="B161">
        <f t="shared" si="21"/>
        <v>1.24</v>
      </c>
      <c r="C161" s="1" t="s">
        <v>57</v>
      </c>
      <c r="D161" s="1" t="s">
        <v>62</v>
      </c>
      <c r="E161" s="1" t="s">
        <v>65</v>
      </c>
      <c r="F161" s="1" t="s">
        <v>50</v>
      </c>
      <c r="G161">
        <v>3287</v>
      </c>
      <c r="H161" s="4">
        <v>45.03</v>
      </c>
      <c r="I161" s="4">
        <v>117</v>
      </c>
      <c r="J161" s="4">
        <v>53</v>
      </c>
      <c r="K161" s="8"/>
      <c r="L161" s="4">
        <v>84</v>
      </c>
      <c r="M161" s="4">
        <v>62</v>
      </c>
      <c r="N161" s="4">
        <v>90</v>
      </c>
      <c r="O161" s="4">
        <v>47</v>
      </c>
      <c r="P161" s="4">
        <v>38.959394711999202</v>
      </c>
      <c r="Q161" s="4">
        <v>62.956629412231102</v>
      </c>
      <c r="R161" s="8"/>
      <c r="S161" s="7" t="s">
        <v>34</v>
      </c>
      <c r="T161" s="4">
        <v>658300</v>
      </c>
      <c r="U161" s="4">
        <v>843801</v>
      </c>
      <c r="V161" s="4">
        <v>2345</v>
      </c>
      <c r="W161" s="4">
        <v>122400</v>
      </c>
      <c r="X161" s="4">
        <v>200021</v>
      </c>
      <c r="Y161" s="4">
        <v>643780</v>
      </c>
      <c r="Z161" s="4">
        <v>120000</v>
      </c>
      <c r="AA161" s="4">
        <v>2400</v>
      </c>
      <c r="AB161" s="4">
        <v>130378</v>
      </c>
      <c r="AC161" s="4">
        <v>1921655</v>
      </c>
      <c r="AD161" s="4">
        <v>2321</v>
      </c>
      <c r="AE161" s="4">
        <v>3739</v>
      </c>
      <c r="AF161" s="4">
        <v>2058093</v>
      </c>
      <c r="AG161" s="6">
        <v>222133</v>
      </c>
      <c r="AH161" s="6">
        <v>199336</v>
      </c>
      <c r="AI161" s="6">
        <v>22797</v>
      </c>
      <c r="AJ161" s="6">
        <v>287316</v>
      </c>
      <c r="AK161" s="6">
        <v>24.6999999999999</v>
      </c>
      <c r="AL161" s="4">
        <v>2407</v>
      </c>
      <c r="AM161" s="4">
        <v>18213</v>
      </c>
      <c r="AN161" s="4">
        <v>875</v>
      </c>
      <c r="AO161" s="6">
        <v>318172</v>
      </c>
      <c r="AP161" s="6">
        <v>29030</v>
      </c>
      <c r="AQ161" s="6">
        <v>41664</v>
      </c>
      <c r="AR161" s="6">
        <v>247478</v>
      </c>
      <c r="AS161" s="6">
        <v>90.2</v>
      </c>
      <c r="AT161" s="6">
        <v>82.7</v>
      </c>
      <c r="AU161" s="6">
        <v>60.6</v>
      </c>
      <c r="AV161" s="4">
        <v>214</v>
      </c>
      <c r="AW161" s="4">
        <v>176</v>
      </c>
    </row>
    <row r="162" spans="1:49" x14ac:dyDescent="0.2">
      <c r="A162" s="1">
        <v>44565</v>
      </c>
      <c r="B162">
        <f t="shared" si="21"/>
        <v>1.24</v>
      </c>
      <c r="C162" s="1" t="s">
        <v>57</v>
      </c>
      <c r="D162" s="1" t="s">
        <v>62</v>
      </c>
      <c r="E162" s="1" t="s">
        <v>65</v>
      </c>
      <c r="F162" s="1" t="s">
        <v>50</v>
      </c>
      <c r="G162">
        <v>3204</v>
      </c>
      <c r="H162" s="4">
        <v>45.91</v>
      </c>
      <c r="I162" s="4">
        <v>119</v>
      </c>
      <c r="J162" s="4">
        <v>48</v>
      </c>
      <c r="K162" s="8"/>
      <c r="L162" s="4">
        <v>64</v>
      </c>
      <c r="M162" s="4">
        <v>59</v>
      </c>
      <c r="N162" s="4">
        <v>87</v>
      </c>
      <c r="O162" s="4">
        <v>44</v>
      </c>
      <c r="P162" s="4">
        <v>35.259590542144402</v>
      </c>
      <c r="Q162" s="4">
        <v>55.643558491436998</v>
      </c>
      <c r="R162" s="8"/>
      <c r="S162" s="7" t="s">
        <v>34</v>
      </c>
      <c r="T162" s="4">
        <v>678728</v>
      </c>
      <c r="U162" s="4">
        <v>965601</v>
      </c>
      <c r="V162" s="4">
        <v>2536</v>
      </c>
      <c r="W162" s="4">
        <v>122400</v>
      </c>
      <c r="X162" s="4">
        <v>200021</v>
      </c>
      <c r="Y162" s="4">
        <v>765580</v>
      </c>
      <c r="Z162" s="4">
        <v>120000</v>
      </c>
      <c r="AA162" s="4">
        <v>2400</v>
      </c>
      <c r="AB162" s="4">
        <v>126703</v>
      </c>
      <c r="AC162" s="4">
        <v>1927558</v>
      </c>
      <c r="AD162" s="4">
        <v>1552</v>
      </c>
      <c r="AE162" s="4">
        <v>5228</v>
      </c>
      <c r="AF162" s="4">
        <v>2061041</v>
      </c>
      <c r="AG162" s="6">
        <v>275618</v>
      </c>
      <c r="AH162" s="6">
        <v>247277</v>
      </c>
      <c r="AI162" s="6">
        <v>28341</v>
      </c>
      <c r="AJ162" s="6">
        <v>449169</v>
      </c>
      <c r="AK162" s="6">
        <v>42.6</v>
      </c>
      <c r="AL162" s="4">
        <v>2400</v>
      </c>
      <c r="AM162" s="4">
        <v>17491</v>
      </c>
      <c r="AN162" s="4">
        <v>900</v>
      </c>
      <c r="AO162" s="6">
        <v>288577</v>
      </c>
      <c r="AP162" s="6">
        <v>24866</v>
      </c>
      <c r="AQ162" s="6">
        <v>40887</v>
      </c>
      <c r="AR162" s="6">
        <v>222824</v>
      </c>
      <c r="AS162" s="6">
        <v>90.2</v>
      </c>
      <c r="AT162" s="6">
        <v>82.6</v>
      </c>
      <c r="AU162" s="6">
        <v>60.1</v>
      </c>
      <c r="AV162" s="4">
        <v>220</v>
      </c>
      <c r="AW162" s="4">
        <v>197</v>
      </c>
    </row>
    <row r="163" spans="1:49" x14ac:dyDescent="0.2">
      <c r="A163" s="1">
        <v>44564</v>
      </c>
      <c r="B163">
        <f t="shared" si="21"/>
        <v>1.24</v>
      </c>
      <c r="C163" s="1" t="s">
        <v>57</v>
      </c>
      <c r="D163" s="1" t="s">
        <v>62</v>
      </c>
      <c r="E163" s="1" t="s">
        <v>65</v>
      </c>
      <c r="F163" s="1" t="s">
        <v>50</v>
      </c>
      <c r="G163">
        <v>3239</v>
      </c>
      <c r="H163" s="4">
        <v>105.05</v>
      </c>
      <c r="I163" s="4">
        <v>123</v>
      </c>
      <c r="J163" s="4">
        <v>24</v>
      </c>
      <c r="K163" s="8"/>
      <c r="L163" s="4">
        <v>111</v>
      </c>
      <c r="M163" s="4">
        <v>70</v>
      </c>
      <c r="N163" s="4">
        <v>83</v>
      </c>
      <c r="O163" s="4">
        <v>38</v>
      </c>
      <c r="P163" s="4">
        <v>27.593529665306601</v>
      </c>
      <c r="Q163" s="4">
        <v>40.7466134247369</v>
      </c>
      <c r="R163" s="8"/>
      <c r="S163" s="7" t="s">
        <v>34</v>
      </c>
      <c r="T163" s="4">
        <v>685185</v>
      </c>
      <c r="U163" s="4">
        <v>928901</v>
      </c>
      <c r="V163" s="4">
        <v>487</v>
      </c>
      <c r="W163" s="4">
        <v>122400</v>
      </c>
      <c r="X163" s="4">
        <v>200021</v>
      </c>
      <c r="Y163" s="4">
        <v>728880</v>
      </c>
      <c r="Z163" s="4">
        <v>120000</v>
      </c>
      <c r="AA163" s="4">
        <v>2400</v>
      </c>
      <c r="AB163" s="4">
        <v>92731</v>
      </c>
      <c r="AC163" s="4">
        <v>1626976</v>
      </c>
      <c r="AD163" s="4">
        <v>487</v>
      </c>
      <c r="AE163" s="4">
        <v>1573</v>
      </c>
      <c r="AF163" s="4">
        <v>1721767</v>
      </c>
      <c r="AG163" s="6">
        <v>229869</v>
      </c>
      <c r="AH163" s="6">
        <v>206326</v>
      </c>
      <c r="AI163" s="6">
        <v>23543</v>
      </c>
      <c r="AJ163" s="6">
        <v>448173</v>
      </c>
      <c r="AK163" s="6">
        <v>45.2</v>
      </c>
      <c r="AL163" s="4">
        <v>2479</v>
      </c>
      <c r="AM163" s="4">
        <v>16498</v>
      </c>
      <c r="AN163" s="4">
        <v>878</v>
      </c>
      <c r="AO163" s="6">
        <v>190278</v>
      </c>
      <c r="AP163" s="6">
        <v>19158</v>
      </c>
      <c r="AQ163" s="6">
        <v>29295</v>
      </c>
      <c r="AR163" s="6">
        <v>141825</v>
      </c>
      <c r="AS163" s="6">
        <v>90.1</v>
      </c>
      <c r="AT163" s="6">
        <v>82.6</v>
      </c>
      <c r="AU163" s="6">
        <v>59.8</v>
      </c>
      <c r="AV163" s="4">
        <v>179</v>
      </c>
      <c r="AW163" s="4">
        <v>174</v>
      </c>
    </row>
    <row r="164" spans="1:49" x14ac:dyDescent="0.2">
      <c r="A164" s="1">
        <v>44563</v>
      </c>
      <c r="B164">
        <v>5.23</v>
      </c>
      <c r="C164" s="1" t="s">
        <v>57</v>
      </c>
      <c r="D164" s="1" t="s">
        <v>62</v>
      </c>
      <c r="E164" s="1" t="s">
        <v>65</v>
      </c>
      <c r="F164" s="1" t="s">
        <v>50</v>
      </c>
      <c r="G164">
        <v>3247</v>
      </c>
      <c r="H164" s="4">
        <v>89.91</v>
      </c>
      <c r="I164" s="4">
        <v>106</v>
      </c>
      <c r="J164" s="4">
        <v>82</v>
      </c>
      <c r="K164" s="8"/>
      <c r="L164" s="4">
        <v>79</v>
      </c>
      <c r="M164" s="4">
        <v>64</v>
      </c>
      <c r="N164" s="4">
        <v>76</v>
      </c>
      <c r="O164" s="4">
        <v>56</v>
      </c>
      <c r="P164" s="4">
        <v>56.574692358731298</v>
      </c>
      <c r="Q164" s="4">
        <v>68.666355198998005</v>
      </c>
      <c r="R164" s="8"/>
      <c r="S164" s="7" t="s">
        <v>34</v>
      </c>
      <c r="T164" s="4">
        <v>558721</v>
      </c>
      <c r="U164" s="4">
        <v>871051</v>
      </c>
      <c r="V164" s="4">
        <v>569</v>
      </c>
      <c r="W164" s="4">
        <v>122400</v>
      </c>
      <c r="X164" s="4">
        <v>200021</v>
      </c>
      <c r="Y164" s="4">
        <v>671030</v>
      </c>
      <c r="Z164" s="4">
        <v>120000</v>
      </c>
      <c r="AA164" s="4">
        <v>2400</v>
      </c>
      <c r="AB164" s="4">
        <v>77831</v>
      </c>
      <c r="AC164" s="4">
        <v>1261382</v>
      </c>
      <c r="AD164" s="4">
        <v>569</v>
      </c>
      <c r="AE164" s="4">
        <v>19278</v>
      </c>
      <c r="AF164" s="4">
        <v>1359060</v>
      </c>
      <c r="AG164" s="6">
        <v>181063</v>
      </c>
      <c r="AH164" s="6">
        <v>163335</v>
      </c>
      <c r="AI164" s="6">
        <v>17728</v>
      </c>
      <c r="AJ164" s="6">
        <v>474327</v>
      </c>
      <c r="AK164" s="6">
        <v>51</v>
      </c>
      <c r="AL164" s="4">
        <v>2118</v>
      </c>
      <c r="AM164" s="4">
        <v>15306</v>
      </c>
      <c r="AN164" s="4">
        <v>864</v>
      </c>
      <c r="AO164" s="6">
        <v>140425</v>
      </c>
      <c r="AP164" s="6">
        <v>12449</v>
      </c>
      <c r="AQ164" s="6">
        <v>16485</v>
      </c>
      <c r="AR164" s="6">
        <v>111491</v>
      </c>
      <c r="AS164" s="6">
        <v>90.1</v>
      </c>
      <c r="AT164" s="6">
        <v>82.5</v>
      </c>
      <c r="AU164" s="6">
        <v>59.5</v>
      </c>
      <c r="AV164" s="4">
        <v>177</v>
      </c>
      <c r="AW164" s="4">
        <v>168</v>
      </c>
    </row>
    <row r="165" spans="1:49" x14ac:dyDescent="0.2">
      <c r="A165" s="1">
        <v>44562</v>
      </c>
      <c r="B165">
        <f>B164</f>
        <v>5.23</v>
      </c>
      <c r="C165" s="1" t="s">
        <v>57</v>
      </c>
      <c r="D165" s="1" t="s">
        <v>62</v>
      </c>
      <c r="E165" s="1" t="s">
        <v>65</v>
      </c>
      <c r="F165" s="1" t="s">
        <v>50</v>
      </c>
      <c r="G165">
        <v>3236</v>
      </c>
      <c r="H165" s="4">
        <v>40.98</v>
      </c>
      <c r="I165" s="4">
        <v>111</v>
      </c>
      <c r="J165" s="4">
        <v>52</v>
      </c>
      <c r="K165" s="8"/>
      <c r="L165" s="4">
        <v>81</v>
      </c>
      <c r="M165" s="4">
        <v>39</v>
      </c>
      <c r="N165" s="4">
        <v>49</v>
      </c>
      <c r="O165" s="4">
        <v>46</v>
      </c>
      <c r="P165" s="4">
        <v>31.074523597900701</v>
      </c>
      <c r="Q165" s="4">
        <v>38.362965808263802</v>
      </c>
      <c r="R165" s="8"/>
      <c r="S165" s="7" t="s">
        <v>34</v>
      </c>
      <c r="T165" s="4">
        <v>405981</v>
      </c>
      <c r="U165" s="4">
        <v>814201</v>
      </c>
      <c r="V165" s="4">
        <v>579</v>
      </c>
      <c r="W165" s="4">
        <v>122400</v>
      </c>
      <c r="X165" s="4">
        <v>200021</v>
      </c>
      <c r="Y165" s="4">
        <v>614180</v>
      </c>
      <c r="Z165" s="4">
        <v>120000</v>
      </c>
      <c r="AA165" s="4">
        <v>2400</v>
      </c>
      <c r="AB165" s="4">
        <v>64949</v>
      </c>
      <c r="AC165" s="4">
        <v>978735</v>
      </c>
      <c r="AD165" s="4">
        <v>579</v>
      </c>
      <c r="AE165" s="4">
        <v>10490</v>
      </c>
      <c r="AF165" s="4">
        <v>1054753</v>
      </c>
      <c r="AG165" s="6">
        <v>118206</v>
      </c>
      <c r="AH165" s="6">
        <v>107606</v>
      </c>
      <c r="AI165" s="6">
        <v>10600</v>
      </c>
      <c r="AJ165" s="6">
        <v>436663</v>
      </c>
      <c r="AK165" s="6">
        <v>48.399999999999899</v>
      </c>
      <c r="AL165" s="4">
        <v>2076</v>
      </c>
      <c r="AM165" s="4">
        <v>14671</v>
      </c>
      <c r="AN165" s="4">
        <v>857</v>
      </c>
      <c r="AO165" s="6">
        <v>23907</v>
      </c>
      <c r="AP165" s="6">
        <v>2277</v>
      </c>
      <c r="AQ165" s="6">
        <v>2758</v>
      </c>
      <c r="AR165" s="6">
        <v>18872</v>
      </c>
      <c r="AS165" s="6">
        <v>90.1</v>
      </c>
      <c r="AT165" s="6">
        <v>82.5</v>
      </c>
      <c r="AU165" s="6">
        <v>59.3</v>
      </c>
      <c r="AV165" s="4">
        <v>181</v>
      </c>
      <c r="AW165" s="4">
        <v>172</v>
      </c>
    </row>
    <row r="166" spans="1:49" x14ac:dyDescent="0.2">
      <c r="A166" s="1">
        <v>44561</v>
      </c>
      <c r="B166">
        <f t="shared" ref="B166:B170" si="22">B165</f>
        <v>5.23</v>
      </c>
      <c r="C166" s="1" t="s">
        <v>57</v>
      </c>
      <c r="D166" s="1" t="s">
        <v>62</v>
      </c>
      <c r="E166" s="1" t="s">
        <v>65</v>
      </c>
      <c r="F166" s="1" t="s">
        <v>50</v>
      </c>
      <c r="G166">
        <v>3236</v>
      </c>
      <c r="I166" s="4">
        <v>119</v>
      </c>
      <c r="J166" s="4">
        <v>33</v>
      </c>
      <c r="K166" s="8"/>
      <c r="L166" s="4">
        <v>98</v>
      </c>
      <c r="M166" s="4">
        <v>63</v>
      </c>
      <c r="N166" s="4">
        <v>99</v>
      </c>
      <c r="O166" s="4">
        <v>44</v>
      </c>
      <c r="P166" s="4">
        <v>36.936006979441501</v>
      </c>
      <c r="Q166" s="4">
        <v>52.499562701254803</v>
      </c>
      <c r="R166" s="8"/>
      <c r="S166" s="7" t="s">
        <v>34</v>
      </c>
      <c r="T166" s="4">
        <v>544040</v>
      </c>
      <c r="U166" s="4">
        <v>864211</v>
      </c>
      <c r="V166" s="4">
        <v>3221</v>
      </c>
      <c r="W166" s="4">
        <v>122400</v>
      </c>
      <c r="X166" s="4">
        <v>200021</v>
      </c>
      <c r="Y166" s="4">
        <v>664190</v>
      </c>
      <c r="Z166" s="4">
        <v>120000</v>
      </c>
      <c r="AA166" s="4">
        <v>2400</v>
      </c>
      <c r="AB166" s="4">
        <v>95605</v>
      </c>
      <c r="AC166" s="4">
        <v>1619073</v>
      </c>
      <c r="AD166" s="4">
        <v>1301</v>
      </c>
      <c r="AE166" s="4">
        <v>15890</v>
      </c>
      <c r="AF166" s="4">
        <v>1731869</v>
      </c>
      <c r="AG166" s="6">
        <v>188555</v>
      </c>
      <c r="AH166" s="6">
        <v>171317</v>
      </c>
      <c r="AI166" s="6">
        <v>17238</v>
      </c>
      <c r="AJ166" s="6">
        <v>370294</v>
      </c>
      <c r="AK166" s="6">
        <v>40.200000000000003</v>
      </c>
      <c r="AL166" s="4">
        <v>2108</v>
      </c>
      <c r="AM166" s="4">
        <v>14341</v>
      </c>
      <c r="AN166" s="4">
        <v>883</v>
      </c>
      <c r="AO166" s="6">
        <v>204514</v>
      </c>
      <c r="AP166" s="6">
        <v>15384</v>
      </c>
      <c r="AQ166" s="6">
        <v>22070</v>
      </c>
      <c r="AR166" s="6">
        <v>167060</v>
      </c>
      <c r="AS166" s="6">
        <v>90.1</v>
      </c>
      <c r="AT166" s="6">
        <v>82.5</v>
      </c>
      <c r="AU166" s="6">
        <v>59.3</v>
      </c>
      <c r="AV166" s="4">
        <v>169</v>
      </c>
      <c r="AW166" s="4">
        <v>154</v>
      </c>
    </row>
    <row r="167" spans="1:49" x14ac:dyDescent="0.2">
      <c r="A167" s="1">
        <v>44560</v>
      </c>
      <c r="B167">
        <f t="shared" si="22"/>
        <v>5.23</v>
      </c>
      <c r="C167" s="1" t="s">
        <v>57</v>
      </c>
      <c r="D167" s="1" t="s">
        <v>62</v>
      </c>
      <c r="E167" s="1" t="s">
        <v>65</v>
      </c>
      <c r="F167" s="1" t="s">
        <v>50</v>
      </c>
      <c r="G167">
        <v>3211</v>
      </c>
      <c r="I167" s="4">
        <v>120</v>
      </c>
      <c r="J167" s="4">
        <v>32</v>
      </c>
      <c r="K167" s="8"/>
      <c r="L167" s="4">
        <v>94</v>
      </c>
      <c r="M167" s="4">
        <v>70</v>
      </c>
      <c r="N167" s="4">
        <v>94</v>
      </c>
      <c r="O167" s="4">
        <v>42</v>
      </c>
      <c r="P167" s="4">
        <v>34.271404735150497</v>
      </c>
      <c r="Q167" s="4">
        <v>51.052742830851003</v>
      </c>
      <c r="R167" s="8"/>
      <c r="S167" s="7" t="s">
        <v>34</v>
      </c>
      <c r="T167" s="4">
        <v>592140</v>
      </c>
      <c r="U167" s="4">
        <v>899247</v>
      </c>
      <c r="V167" s="4">
        <v>3522</v>
      </c>
      <c r="W167" s="4">
        <v>122400</v>
      </c>
      <c r="X167" s="4">
        <v>199867</v>
      </c>
      <c r="Y167" s="4">
        <v>699380</v>
      </c>
      <c r="Z167" s="4">
        <v>120000</v>
      </c>
      <c r="AA167" s="4">
        <v>2400</v>
      </c>
      <c r="AB167" s="4">
        <v>114693</v>
      </c>
      <c r="AC167" s="4">
        <v>1399321</v>
      </c>
      <c r="AD167" s="4">
        <v>1398</v>
      </c>
      <c r="AE167" s="4">
        <v>15023</v>
      </c>
      <c r="AF167" s="4">
        <v>1530435</v>
      </c>
      <c r="AG167" s="6">
        <v>236565</v>
      </c>
      <c r="AH167" s="6">
        <v>214646</v>
      </c>
      <c r="AI167" s="6">
        <v>21919</v>
      </c>
      <c r="AJ167" s="6">
        <v>360393</v>
      </c>
      <c r="AK167" s="6">
        <v>40.899999999999899</v>
      </c>
      <c r="AL167" s="4">
        <v>2405</v>
      </c>
      <c r="AM167" s="4">
        <v>13308</v>
      </c>
      <c r="AN167" s="4">
        <v>875</v>
      </c>
      <c r="AO167" s="6">
        <v>475032</v>
      </c>
      <c r="AP167" s="6">
        <v>33371</v>
      </c>
      <c r="AQ167" s="6">
        <v>44107</v>
      </c>
      <c r="AR167" s="6">
        <v>397554</v>
      </c>
      <c r="AS167" s="6">
        <v>90</v>
      </c>
      <c r="AT167" s="6">
        <v>82.4</v>
      </c>
      <c r="AU167" s="6">
        <v>59</v>
      </c>
      <c r="AV167" s="4">
        <v>191</v>
      </c>
      <c r="AW167" s="4">
        <v>175</v>
      </c>
    </row>
    <row r="168" spans="1:49" x14ac:dyDescent="0.2">
      <c r="A168" s="1">
        <v>44559</v>
      </c>
      <c r="B168">
        <f t="shared" si="22"/>
        <v>5.23</v>
      </c>
      <c r="C168" s="1" t="s">
        <v>57</v>
      </c>
      <c r="D168" s="1" t="s">
        <v>62</v>
      </c>
      <c r="E168" s="1" t="s">
        <v>65</v>
      </c>
      <c r="F168" s="1" t="s">
        <v>50</v>
      </c>
      <c r="G168">
        <v>3133</v>
      </c>
      <c r="H168" s="4">
        <v>93.95</v>
      </c>
      <c r="I168" s="4">
        <v>120</v>
      </c>
      <c r="J168" s="4">
        <v>32</v>
      </c>
      <c r="K168" s="8"/>
      <c r="L168" s="4">
        <v>84</v>
      </c>
      <c r="M168" s="4">
        <v>68</v>
      </c>
      <c r="N168" s="4">
        <v>88</v>
      </c>
      <c r="O168" s="4">
        <v>41</v>
      </c>
      <c r="P168" s="4">
        <v>33.341175337634901</v>
      </c>
      <c r="Q168" s="4">
        <v>49.269423671088497</v>
      </c>
      <c r="R168" s="8"/>
      <c r="S168" s="7" t="s">
        <v>34</v>
      </c>
      <c r="T168" s="4">
        <v>518473</v>
      </c>
      <c r="U168" s="4">
        <v>879107</v>
      </c>
      <c r="V168" s="4">
        <v>3308</v>
      </c>
      <c r="W168" s="4">
        <v>122400</v>
      </c>
      <c r="X168" s="4">
        <v>199867</v>
      </c>
      <c r="Y168" s="4">
        <v>679240</v>
      </c>
      <c r="Z168" s="4">
        <v>120000</v>
      </c>
      <c r="AA168" s="4">
        <v>2400</v>
      </c>
      <c r="AB168" s="4">
        <v>106245</v>
      </c>
      <c r="AC168" s="4">
        <v>1404863</v>
      </c>
      <c r="AD168" s="4">
        <v>1186</v>
      </c>
      <c r="AE168" s="4">
        <v>3443</v>
      </c>
      <c r="AF168" s="4">
        <v>1515737</v>
      </c>
      <c r="AG168" s="6">
        <v>272761</v>
      </c>
      <c r="AH168" s="6">
        <v>248835</v>
      </c>
      <c r="AI168" s="6">
        <v>23926</v>
      </c>
      <c r="AJ168" s="6">
        <v>339028</v>
      </c>
      <c r="AK168" s="6">
        <v>41.1</v>
      </c>
      <c r="AL168" s="4">
        <v>2635</v>
      </c>
      <c r="AM168" s="4">
        <v>12116</v>
      </c>
      <c r="AN168" s="4">
        <v>868</v>
      </c>
      <c r="AO168" s="6">
        <v>511666</v>
      </c>
      <c r="AP168" s="6">
        <v>32607</v>
      </c>
      <c r="AQ168" s="6">
        <v>43766</v>
      </c>
      <c r="AR168" s="6">
        <v>435293</v>
      </c>
      <c r="AS168" s="6">
        <v>90</v>
      </c>
      <c r="AT168" s="6">
        <v>82.4</v>
      </c>
      <c r="AU168" s="6">
        <v>58.3</v>
      </c>
      <c r="AV168" s="4">
        <v>126</v>
      </c>
      <c r="AW168" s="4">
        <v>127</v>
      </c>
    </row>
    <row r="169" spans="1:49" x14ac:dyDescent="0.2">
      <c r="A169" s="1">
        <v>44558</v>
      </c>
      <c r="B169">
        <f t="shared" si="22"/>
        <v>5.23</v>
      </c>
      <c r="C169" s="1" t="s">
        <v>57</v>
      </c>
      <c r="D169" s="1" t="s">
        <v>62</v>
      </c>
      <c r="E169" s="1" t="s">
        <v>65</v>
      </c>
      <c r="F169" s="1" t="s">
        <v>50</v>
      </c>
      <c r="G169">
        <v>3203</v>
      </c>
      <c r="H169" s="4">
        <v>43.73</v>
      </c>
      <c r="I169" s="4">
        <v>122</v>
      </c>
      <c r="J169" s="4">
        <v>22</v>
      </c>
      <c r="K169" s="8"/>
      <c r="L169" s="4">
        <v>85</v>
      </c>
      <c r="M169" s="4">
        <v>65</v>
      </c>
      <c r="N169" s="4">
        <v>76</v>
      </c>
      <c r="O169" s="4">
        <v>37</v>
      </c>
      <c r="P169" s="4">
        <v>28.409220167353901</v>
      </c>
      <c r="Q169" s="4">
        <v>40.2682547757151</v>
      </c>
      <c r="R169" s="8"/>
      <c r="S169" s="7" t="s">
        <v>34</v>
      </c>
      <c r="T169" s="4">
        <v>645448</v>
      </c>
      <c r="U169" s="4">
        <v>878987</v>
      </c>
      <c r="V169" s="4">
        <v>457</v>
      </c>
      <c r="W169" s="4">
        <v>122400</v>
      </c>
      <c r="X169" s="4">
        <v>199867</v>
      </c>
      <c r="Y169" s="4">
        <v>679120</v>
      </c>
      <c r="Z169" s="4">
        <v>120000</v>
      </c>
      <c r="AA169" s="4">
        <v>2400</v>
      </c>
      <c r="AB169" s="4">
        <v>100488</v>
      </c>
      <c r="AC169" s="4">
        <v>1386098</v>
      </c>
      <c r="AD169" s="4">
        <v>457</v>
      </c>
      <c r="AE169" s="4">
        <v>4310</v>
      </c>
      <c r="AF169" s="4">
        <v>1491353</v>
      </c>
      <c r="AG169" s="6">
        <v>212448</v>
      </c>
      <c r="AH169" s="6">
        <v>194075</v>
      </c>
      <c r="AI169" s="6">
        <v>18373</v>
      </c>
      <c r="AJ169" s="6">
        <v>276655</v>
      </c>
      <c r="AK169" s="6">
        <v>35.6</v>
      </c>
      <c r="AL169" s="4">
        <v>2315</v>
      </c>
      <c r="AM169" s="4">
        <v>11069</v>
      </c>
      <c r="AN169" s="4">
        <v>851</v>
      </c>
      <c r="AO169" s="6">
        <v>378480</v>
      </c>
      <c r="AP169" s="6">
        <v>23859</v>
      </c>
      <c r="AQ169" s="6">
        <v>29534</v>
      </c>
      <c r="AR169" s="6">
        <v>325087</v>
      </c>
      <c r="AS169" s="6">
        <v>89.9</v>
      </c>
      <c r="AT169" s="6">
        <v>82.3</v>
      </c>
      <c r="AU169" s="6">
        <v>57.5</v>
      </c>
      <c r="AV169" s="4">
        <v>168</v>
      </c>
      <c r="AW169" s="4">
        <v>158</v>
      </c>
    </row>
    <row r="170" spans="1:49" x14ac:dyDescent="0.2">
      <c r="A170" s="1">
        <v>44557</v>
      </c>
      <c r="B170">
        <f t="shared" si="22"/>
        <v>5.23</v>
      </c>
      <c r="C170" s="1" t="s">
        <v>57</v>
      </c>
      <c r="D170" s="1" t="s">
        <v>62</v>
      </c>
      <c r="E170" s="1" t="s">
        <v>65</v>
      </c>
      <c r="F170" s="1" t="s">
        <v>50</v>
      </c>
      <c r="G170">
        <v>3195</v>
      </c>
      <c r="H170" s="4">
        <v>45.5</v>
      </c>
      <c r="I170" s="4">
        <v>120</v>
      </c>
      <c r="J170" s="4">
        <v>20</v>
      </c>
      <c r="K170" s="8"/>
      <c r="L170" s="4">
        <v>83</v>
      </c>
      <c r="M170" s="4">
        <v>67</v>
      </c>
      <c r="N170" s="4">
        <v>73</v>
      </c>
      <c r="O170" s="4">
        <v>37</v>
      </c>
      <c r="P170" s="4">
        <v>26.803924526166501</v>
      </c>
      <c r="Q170" s="4">
        <v>38.102332661206098</v>
      </c>
      <c r="R170" s="8"/>
      <c r="S170" s="7" t="s">
        <v>34</v>
      </c>
      <c r="T170" s="4">
        <v>474443</v>
      </c>
      <c r="U170" s="4">
        <v>776867</v>
      </c>
      <c r="V170" s="4">
        <v>616</v>
      </c>
      <c r="W170" s="4">
        <v>122400</v>
      </c>
      <c r="X170" s="4">
        <v>199867</v>
      </c>
      <c r="Y170" s="4">
        <v>577000</v>
      </c>
      <c r="Z170" s="4">
        <v>120000</v>
      </c>
      <c r="AA170" s="4">
        <v>2400</v>
      </c>
      <c r="AB170" s="4">
        <v>81547</v>
      </c>
      <c r="AC170" s="4">
        <v>1234338</v>
      </c>
      <c r="AD170" s="4">
        <v>616</v>
      </c>
      <c r="AE170" s="4">
        <v>1085</v>
      </c>
      <c r="AF170" s="4">
        <v>1317586</v>
      </c>
      <c r="AG170" s="6">
        <v>194983</v>
      </c>
      <c r="AH170" s="6">
        <v>178935</v>
      </c>
      <c r="AI170" s="6">
        <v>16048</v>
      </c>
      <c r="AJ170" s="6">
        <v>261998</v>
      </c>
      <c r="AK170" s="6">
        <v>35.899999999999899</v>
      </c>
      <c r="AL170" s="4">
        <v>1973</v>
      </c>
      <c r="AM170" s="4">
        <v>9907</v>
      </c>
      <c r="AN170" s="4">
        <v>870</v>
      </c>
      <c r="AO170" s="6">
        <v>315382</v>
      </c>
      <c r="AP170" s="6">
        <v>18191</v>
      </c>
      <c r="AQ170" s="6">
        <v>23706</v>
      </c>
      <c r="AR170" s="6">
        <v>273485</v>
      </c>
      <c r="AS170" s="6">
        <v>89.9</v>
      </c>
      <c r="AT170" s="6">
        <v>82.2</v>
      </c>
      <c r="AU170" s="6">
        <v>57</v>
      </c>
      <c r="AV170" s="4">
        <v>143</v>
      </c>
      <c r="AW170" s="4">
        <v>131</v>
      </c>
    </row>
    <row r="171" spans="1:49" x14ac:dyDescent="0.2">
      <c r="A171" s="1">
        <v>44556</v>
      </c>
      <c r="B171">
        <v>10.98</v>
      </c>
      <c r="C171" s="1" t="s">
        <v>57</v>
      </c>
      <c r="D171" s="1" t="s">
        <v>62</v>
      </c>
      <c r="E171" s="1" t="s">
        <v>65</v>
      </c>
      <c r="F171" s="1" t="s">
        <v>50</v>
      </c>
      <c r="G171">
        <v>3253</v>
      </c>
      <c r="H171" s="4">
        <v>30.5</v>
      </c>
      <c r="I171" s="4">
        <v>105</v>
      </c>
      <c r="J171" s="4">
        <v>62</v>
      </c>
      <c r="K171" s="8"/>
      <c r="L171" s="4">
        <v>71</v>
      </c>
      <c r="M171" s="4">
        <v>48</v>
      </c>
      <c r="N171" s="4">
        <v>49</v>
      </c>
      <c r="O171" s="4">
        <v>41</v>
      </c>
      <c r="P171" s="4">
        <v>37.2310028523938</v>
      </c>
      <c r="Q171" s="4">
        <v>56.594469655130503</v>
      </c>
      <c r="R171" s="8"/>
      <c r="S171" s="7" t="s">
        <v>34</v>
      </c>
      <c r="T171" s="4">
        <v>460386</v>
      </c>
      <c r="U171" s="4">
        <v>798487</v>
      </c>
      <c r="V171" s="4">
        <v>369</v>
      </c>
      <c r="W171" s="4">
        <v>122400</v>
      </c>
      <c r="X171" s="4">
        <v>199867</v>
      </c>
      <c r="Y171" s="4">
        <v>598620</v>
      </c>
      <c r="Z171" s="4">
        <v>120000</v>
      </c>
      <c r="AA171" s="4">
        <v>2400</v>
      </c>
      <c r="AB171" s="4">
        <v>62595</v>
      </c>
      <c r="AC171" s="4">
        <v>1200462</v>
      </c>
      <c r="AD171" s="4">
        <v>369</v>
      </c>
      <c r="AE171" s="4">
        <v>7476</v>
      </c>
      <c r="AF171" s="4">
        <v>1270902</v>
      </c>
      <c r="AG171" s="6">
        <v>116262</v>
      </c>
      <c r="AH171" s="6">
        <v>107286</v>
      </c>
      <c r="AI171" s="6">
        <v>8976</v>
      </c>
      <c r="AJ171" s="6">
        <v>247738</v>
      </c>
      <c r="AK171" s="6">
        <v>36.299999999999898</v>
      </c>
      <c r="AL171" s="4">
        <v>1547</v>
      </c>
      <c r="AM171" s="4">
        <v>8886</v>
      </c>
      <c r="AN171" s="4">
        <v>851</v>
      </c>
      <c r="AO171" s="6">
        <v>27002</v>
      </c>
      <c r="AP171" s="6">
        <v>1935</v>
      </c>
      <c r="AQ171" s="6">
        <v>2084</v>
      </c>
      <c r="AR171" s="6">
        <v>22983</v>
      </c>
      <c r="AS171" s="6">
        <v>89.8</v>
      </c>
      <c r="AT171" s="6">
        <v>82.2</v>
      </c>
      <c r="AU171" s="6">
        <v>56.5</v>
      </c>
      <c r="AV171" s="4">
        <v>116</v>
      </c>
      <c r="AW171" s="4">
        <v>114</v>
      </c>
    </row>
    <row r="172" spans="1:49" x14ac:dyDescent="0.2">
      <c r="A172" s="1">
        <v>44555</v>
      </c>
      <c r="B172">
        <f>B171</f>
        <v>10.98</v>
      </c>
      <c r="C172" s="1" t="s">
        <v>57</v>
      </c>
      <c r="D172" s="1" t="s">
        <v>62</v>
      </c>
      <c r="E172" s="1" t="s">
        <v>65</v>
      </c>
      <c r="F172" s="1" t="s">
        <v>50</v>
      </c>
      <c r="G172">
        <v>3317</v>
      </c>
      <c r="H172" s="4">
        <v>14.35</v>
      </c>
      <c r="I172" s="4">
        <v>115</v>
      </c>
      <c r="J172" s="4">
        <v>29</v>
      </c>
      <c r="K172" s="8"/>
      <c r="L172" s="4">
        <v>40</v>
      </c>
      <c r="M172" s="4">
        <v>13</v>
      </c>
      <c r="N172" s="4">
        <v>18</v>
      </c>
      <c r="O172" s="4">
        <v>13</v>
      </c>
      <c r="R172" s="8"/>
      <c r="S172" s="7" t="s">
        <v>34</v>
      </c>
      <c r="T172" s="4">
        <v>424420</v>
      </c>
      <c r="U172" s="4">
        <v>798557</v>
      </c>
      <c r="V172" s="4">
        <v>409</v>
      </c>
      <c r="W172" s="4">
        <v>122400</v>
      </c>
      <c r="X172" s="4">
        <v>199867</v>
      </c>
      <c r="Y172" s="4">
        <v>598690</v>
      </c>
      <c r="Z172" s="4">
        <v>120000</v>
      </c>
      <c r="AA172" s="4">
        <v>2400</v>
      </c>
      <c r="AB172" s="4">
        <v>42512</v>
      </c>
      <c r="AC172" s="4">
        <v>1098634</v>
      </c>
      <c r="AD172" s="4">
        <v>409</v>
      </c>
      <c r="AE172" s="4">
        <v>17343</v>
      </c>
      <c r="AF172" s="4">
        <v>1158898</v>
      </c>
      <c r="AG172" s="6">
        <v>70357</v>
      </c>
      <c r="AH172" s="6">
        <v>65264</v>
      </c>
      <c r="AI172" s="6">
        <v>5093</v>
      </c>
      <c r="AJ172" s="6">
        <v>256575</v>
      </c>
      <c r="AK172" s="6">
        <v>39.700000000000003</v>
      </c>
      <c r="AL172" s="4">
        <v>1420</v>
      </c>
      <c r="AM172" s="4">
        <v>8468</v>
      </c>
      <c r="AN172" s="4">
        <v>838</v>
      </c>
      <c r="AO172" s="6">
        <v>12352</v>
      </c>
      <c r="AP172" s="6">
        <v>955</v>
      </c>
      <c r="AQ172" s="6">
        <v>917</v>
      </c>
      <c r="AR172" s="6">
        <v>10480</v>
      </c>
      <c r="AS172" s="6">
        <v>89.8</v>
      </c>
      <c r="AT172" s="6">
        <v>82.2</v>
      </c>
      <c r="AU172" s="6">
        <v>56.5</v>
      </c>
      <c r="AV172" s="4">
        <v>108</v>
      </c>
      <c r="AW172" s="4">
        <v>113</v>
      </c>
    </row>
    <row r="173" spans="1:49" x14ac:dyDescent="0.2">
      <c r="A173" s="1">
        <v>44554</v>
      </c>
      <c r="B173">
        <f t="shared" ref="B173:B177" si="23">B172</f>
        <v>10.98</v>
      </c>
      <c r="C173" s="1" t="s">
        <v>57</v>
      </c>
      <c r="D173" s="1" t="s">
        <v>62</v>
      </c>
      <c r="E173" s="1" t="s">
        <v>65</v>
      </c>
      <c r="F173" s="1" t="s">
        <v>50</v>
      </c>
      <c r="G173">
        <v>3366</v>
      </c>
      <c r="H173" s="4">
        <v>48.48</v>
      </c>
      <c r="I173" s="4">
        <v>119</v>
      </c>
      <c r="J173" s="4">
        <v>33</v>
      </c>
      <c r="K173" s="8"/>
      <c r="L173" s="4">
        <v>70</v>
      </c>
      <c r="M173" s="4">
        <v>59</v>
      </c>
      <c r="N173" s="4">
        <v>107</v>
      </c>
      <c r="O173" s="4">
        <v>42</v>
      </c>
      <c r="P173" s="4">
        <v>25.950832297673401</v>
      </c>
      <c r="Q173" s="4">
        <v>50.230008302856199</v>
      </c>
      <c r="R173" s="8"/>
      <c r="S173" s="7" t="s">
        <v>34</v>
      </c>
      <c r="T173" s="4">
        <v>549754</v>
      </c>
      <c r="U173" s="4">
        <v>897237</v>
      </c>
      <c r="V173" s="4">
        <v>1405</v>
      </c>
      <c r="W173" s="4">
        <v>122400</v>
      </c>
      <c r="X173" s="4">
        <v>199867</v>
      </c>
      <c r="Y173" s="4">
        <v>697370</v>
      </c>
      <c r="Z173" s="4">
        <v>120000</v>
      </c>
      <c r="AA173" s="4">
        <v>2400</v>
      </c>
      <c r="AB173" s="4">
        <v>83030</v>
      </c>
      <c r="AC173" s="4">
        <v>1510063</v>
      </c>
      <c r="AD173" s="4">
        <v>1130</v>
      </c>
      <c r="AE173" s="4">
        <v>10259</v>
      </c>
      <c r="AF173" s="4">
        <v>1604482</v>
      </c>
      <c r="AG173" s="6">
        <v>137262</v>
      </c>
      <c r="AH173" s="6">
        <v>126189</v>
      </c>
      <c r="AI173" s="6">
        <v>11073</v>
      </c>
      <c r="AJ173" s="6">
        <v>315380</v>
      </c>
      <c r="AK173" s="6">
        <v>52</v>
      </c>
      <c r="AL173" s="4">
        <v>1204</v>
      </c>
      <c r="AM173" s="4">
        <v>8658</v>
      </c>
      <c r="AN173" s="4">
        <v>835</v>
      </c>
      <c r="AO173" s="6">
        <v>194107</v>
      </c>
      <c r="AP173" s="6">
        <v>10770</v>
      </c>
      <c r="AQ173" s="6">
        <v>13968</v>
      </c>
      <c r="AR173" s="6">
        <v>169369</v>
      </c>
      <c r="AS173" s="6">
        <v>89.8</v>
      </c>
      <c r="AT173" s="6">
        <v>82.2</v>
      </c>
      <c r="AU173" s="6">
        <v>56.4</v>
      </c>
      <c r="AV173" s="4">
        <v>126</v>
      </c>
      <c r="AW173" s="4">
        <v>115</v>
      </c>
    </row>
    <row r="174" spans="1:49" x14ac:dyDescent="0.2">
      <c r="A174" s="1">
        <v>44553</v>
      </c>
      <c r="B174">
        <f t="shared" si="23"/>
        <v>10.98</v>
      </c>
      <c r="C174" s="1" t="s">
        <v>57</v>
      </c>
      <c r="D174" s="1" t="s">
        <v>62</v>
      </c>
      <c r="E174" s="1" t="s">
        <v>65</v>
      </c>
      <c r="F174" s="1" t="s">
        <v>50</v>
      </c>
      <c r="G174">
        <v>3430</v>
      </c>
      <c r="H174" s="4">
        <v>109.44</v>
      </c>
      <c r="I174" s="4">
        <v>116</v>
      </c>
      <c r="J174" s="4">
        <v>40</v>
      </c>
      <c r="K174" s="8"/>
      <c r="L174" s="4">
        <v>87</v>
      </c>
      <c r="M174" s="4">
        <v>77</v>
      </c>
      <c r="N174" s="4">
        <v>115</v>
      </c>
      <c r="O174" s="4">
        <v>47</v>
      </c>
      <c r="P174" s="4">
        <v>36.5962327610439</v>
      </c>
      <c r="Q174" s="4">
        <v>58.060040118164203</v>
      </c>
      <c r="R174" s="8"/>
      <c r="S174" s="7" t="s">
        <v>34</v>
      </c>
      <c r="T174" s="4">
        <v>626770</v>
      </c>
      <c r="U174" s="4">
        <v>897199</v>
      </c>
      <c r="V174" s="4">
        <v>2718</v>
      </c>
      <c r="W174" s="4">
        <v>122400</v>
      </c>
      <c r="X174" s="4">
        <v>199859</v>
      </c>
      <c r="Y174" s="4">
        <v>697340</v>
      </c>
      <c r="Z174" s="4">
        <v>120000</v>
      </c>
      <c r="AA174" s="4">
        <v>2400</v>
      </c>
      <c r="AB174" s="4">
        <v>89880</v>
      </c>
      <c r="AC174" s="4">
        <v>1525399</v>
      </c>
      <c r="AD174" s="4">
        <v>1250</v>
      </c>
      <c r="AE174" s="4">
        <v>14007</v>
      </c>
      <c r="AF174" s="4">
        <v>1630536</v>
      </c>
      <c r="AG174" s="6">
        <v>160620</v>
      </c>
      <c r="AH174" s="6">
        <v>147055</v>
      </c>
      <c r="AI174" s="6">
        <v>13565</v>
      </c>
      <c r="AJ174" s="6">
        <v>317379</v>
      </c>
      <c r="AK174" s="6">
        <v>56.399999999999899</v>
      </c>
      <c r="AL174" s="4">
        <v>1406</v>
      </c>
      <c r="AM174" s="4">
        <v>8431</v>
      </c>
      <c r="AN174" s="4">
        <v>840</v>
      </c>
      <c r="AO174" s="6">
        <v>682212</v>
      </c>
      <c r="AP174" s="6">
        <v>32605</v>
      </c>
      <c r="AQ174" s="6">
        <v>44046</v>
      </c>
      <c r="AR174" s="6">
        <v>605561</v>
      </c>
      <c r="AS174" s="6">
        <v>89.8</v>
      </c>
      <c r="AT174" s="6">
        <v>82.2</v>
      </c>
      <c r="AU174" s="6">
        <v>56.1</v>
      </c>
      <c r="AV174" s="4">
        <v>132</v>
      </c>
      <c r="AW174" s="4">
        <v>135</v>
      </c>
    </row>
    <row r="175" spans="1:49" x14ac:dyDescent="0.2">
      <c r="A175" s="1">
        <v>44552</v>
      </c>
      <c r="B175">
        <f t="shared" si="23"/>
        <v>10.98</v>
      </c>
      <c r="C175" s="1" t="s">
        <v>57</v>
      </c>
      <c r="D175" s="1" t="s">
        <v>62</v>
      </c>
      <c r="E175" s="1" t="s">
        <v>65</v>
      </c>
      <c r="F175" s="1" t="s">
        <v>50</v>
      </c>
      <c r="G175">
        <v>3512</v>
      </c>
      <c r="H175" s="4">
        <v>180.66</v>
      </c>
      <c r="I175" s="4">
        <v>116</v>
      </c>
      <c r="J175" s="4">
        <v>43</v>
      </c>
      <c r="K175" s="8"/>
      <c r="L175" s="4">
        <v>87</v>
      </c>
      <c r="M175" s="4">
        <v>76</v>
      </c>
      <c r="N175" s="4">
        <v>104</v>
      </c>
      <c r="O175" s="4">
        <v>48</v>
      </c>
      <c r="P175" s="4">
        <v>39.527363316153497</v>
      </c>
      <c r="Q175" s="4">
        <v>58.309399955215198</v>
      </c>
      <c r="R175" s="8"/>
      <c r="S175" s="7" t="s">
        <v>34</v>
      </c>
      <c r="T175" s="4">
        <v>599709</v>
      </c>
      <c r="U175" s="4">
        <v>889646</v>
      </c>
      <c r="V175" s="4">
        <v>3543</v>
      </c>
      <c r="W175" s="4">
        <v>122400</v>
      </c>
      <c r="X175" s="4">
        <v>199876</v>
      </c>
      <c r="Y175" s="4">
        <v>689770</v>
      </c>
      <c r="Z175" s="4">
        <v>120000</v>
      </c>
      <c r="AA175" s="4">
        <v>2400</v>
      </c>
      <c r="AB175" s="4">
        <v>106605</v>
      </c>
      <c r="AC175" s="4">
        <v>1550347</v>
      </c>
      <c r="AD175" s="4">
        <v>1257</v>
      </c>
      <c r="AE175" s="4">
        <v>5336</v>
      </c>
      <c r="AF175" s="4">
        <v>1663545</v>
      </c>
      <c r="AG175" s="6">
        <v>161536</v>
      </c>
      <c r="AH175" s="6">
        <v>147962</v>
      </c>
      <c r="AI175" s="6">
        <v>13574</v>
      </c>
      <c r="AJ175" s="6">
        <v>311856</v>
      </c>
      <c r="AK175" s="6">
        <v>60.7</v>
      </c>
      <c r="AL175" s="4">
        <v>1416</v>
      </c>
      <c r="AM175" s="4">
        <v>8395</v>
      </c>
      <c r="AN175" s="4">
        <v>842</v>
      </c>
      <c r="AO175" s="6">
        <v>932501</v>
      </c>
      <c r="AP175" s="6">
        <v>39309</v>
      </c>
      <c r="AQ175" s="6">
        <v>53154</v>
      </c>
      <c r="AR175" s="6">
        <v>840038</v>
      </c>
      <c r="AS175" s="6">
        <v>89.8</v>
      </c>
      <c r="AT175" s="6">
        <v>82.1</v>
      </c>
      <c r="AU175" s="6">
        <v>55.1</v>
      </c>
      <c r="AV175" s="4">
        <v>126</v>
      </c>
      <c r="AW175" s="4">
        <v>133</v>
      </c>
    </row>
    <row r="176" spans="1:49" x14ac:dyDescent="0.2">
      <c r="A176" s="1">
        <v>44551</v>
      </c>
      <c r="B176">
        <f t="shared" si="23"/>
        <v>10.98</v>
      </c>
      <c r="C176" s="1" t="s">
        <v>57</v>
      </c>
      <c r="D176" s="1" t="s">
        <v>62</v>
      </c>
      <c r="E176" s="1" t="s">
        <v>65</v>
      </c>
      <c r="F176" s="1" t="s">
        <v>50</v>
      </c>
      <c r="G176">
        <v>3580</v>
      </c>
      <c r="H176" s="4">
        <v>79.28</v>
      </c>
      <c r="I176" s="4">
        <v>116</v>
      </c>
      <c r="J176" s="4">
        <v>44</v>
      </c>
      <c r="K176" s="8"/>
      <c r="L176" s="4">
        <v>91</v>
      </c>
      <c r="M176" s="4">
        <v>77</v>
      </c>
      <c r="N176" s="4">
        <v>100</v>
      </c>
      <c r="O176" s="4">
        <v>49</v>
      </c>
      <c r="P176" s="4">
        <v>41.601591417563199</v>
      </c>
      <c r="Q176" s="4">
        <v>58.876107548248399</v>
      </c>
      <c r="R176" s="8"/>
      <c r="S176" s="7" t="s">
        <v>34</v>
      </c>
      <c r="T176" s="4">
        <v>603342</v>
      </c>
      <c r="U176" s="4">
        <v>844676</v>
      </c>
      <c r="V176" s="4">
        <v>2228</v>
      </c>
      <c r="W176" s="4">
        <v>122400</v>
      </c>
      <c r="X176" s="4">
        <v>199876</v>
      </c>
      <c r="Y176" s="4">
        <v>644800</v>
      </c>
      <c r="Z176" s="4">
        <v>120000</v>
      </c>
      <c r="AA176" s="4">
        <v>2400</v>
      </c>
      <c r="AB176" s="4">
        <v>119893</v>
      </c>
      <c r="AC176" s="4">
        <v>1377605</v>
      </c>
      <c r="AD176" s="4">
        <v>1304</v>
      </c>
      <c r="AE176" s="4">
        <v>11229</v>
      </c>
      <c r="AF176" s="4">
        <v>1510031</v>
      </c>
      <c r="AG176" s="6">
        <v>150274</v>
      </c>
      <c r="AH176" s="6">
        <v>138158</v>
      </c>
      <c r="AI176" s="6">
        <v>12116</v>
      </c>
      <c r="AJ176" s="6">
        <v>316883</v>
      </c>
      <c r="AK176" s="6">
        <v>68.900000000000006</v>
      </c>
      <c r="AL176" s="4">
        <v>1264</v>
      </c>
      <c r="AM176" s="4">
        <v>8174</v>
      </c>
      <c r="AN176" s="4">
        <v>849</v>
      </c>
      <c r="AO176" s="6">
        <v>1062705</v>
      </c>
      <c r="AP176" s="6">
        <v>39955</v>
      </c>
      <c r="AQ176" s="6">
        <v>54085</v>
      </c>
      <c r="AR176" s="6">
        <v>968665</v>
      </c>
      <c r="AS176" s="6">
        <v>89.7</v>
      </c>
      <c r="AT176" s="6">
        <v>82</v>
      </c>
      <c r="AU176" s="6">
        <v>53.6</v>
      </c>
      <c r="AV176" s="4">
        <v>99</v>
      </c>
      <c r="AW176" s="4">
        <v>110</v>
      </c>
    </row>
    <row r="177" spans="1:49" x14ac:dyDescent="0.2">
      <c r="A177" s="1">
        <v>44550</v>
      </c>
      <c r="B177">
        <f t="shared" si="23"/>
        <v>10.98</v>
      </c>
      <c r="C177" s="1" t="s">
        <v>57</v>
      </c>
      <c r="D177" s="1" t="s">
        <v>62</v>
      </c>
      <c r="E177" s="1" t="s">
        <v>65</v>
      </c>
      <c r="F177" s="1" t="s">
        <v>50</v>
      </c>
      <c r="G177">
        <v>3808</v>
      </c>
      <c r="H177" s="4">
        <v>53.48</v>
      </c>
      <c r="I177" s="4">
        <v>115</v>
      </c>
      <c r="J177" s="4">
        <v>45</v>
      </c>
      <c r="K177" s="8"/>
      <c r="L177" s="4">
        <v>102</v>
      </c>
      <c r="M177" s="4">
        <v>82</v>
      </c>
      <c r="N177" s="4">
        <v>101</v>
      </c>
      <c r="O177" s="4">
        <v>52</v>
      </c>
      <c r="P177" s="4">
        <v>43.889942299748498</v>
      </c>
      <c r="Q177" s="4">
        <v>60.359673225300902</v>
      </c>
      <c r="R177" s="8"/>
      <c r="S177" s="7" t="s">
        <v>34</v>
      </c>
      <c r="T177" s="4">
        <v>531312</v>
      </c>
      <c r="U177" s="4">
        <v>829546</v>
      </c>
      <c r="V177" s="4">
        <v>3152</v>
      </c>
      <c r="W177" s="4">
        <v>122400</v>
      </c>
      <c r="X177" s="4">
        <v>199876</v>
      </c>
      <c r="Y177" s="4">
        <v>629670</v>
      </c>
      <c r="Z177" s="4">
        <v>120000</v>
      </c>
      <c r="AA177" s="4">
        <v>2400</v>
      </c>
      <c r="AB177" s="4">
        <v>104061</v>
      </c>
      <c r="AC177" s="4">
        <v>1395657</v>
      </c>
      <c r="AD177" s="4">
        <v>1111</v>
      </c>
      <c r="AE177" s="4">
        <v>21658</v>
      </c>
      <c r="AF177" s="4">
        <v>1522487</v>
      </c>
      <c r="AG177" s="6">
        <v>133943</v>
      </c>
      <c r="AH177" s="6">
        <v>123715</v>
      </c>
      <c r="AI177" s="6">
        <v>10228</v>
      </c>
      <c r="AJ177" s="6">
        <v>315889</v>
      </c>
      <c r="AK177" s="6">
        <v>76.400000000000006</v>
      </c>
      <c r="AL177" s="4">
        <v>1223</v>
      </c>
      <c r="AM177" s="4">
        <v>7958</v>
      </c>
      <c r="AN177" s="4">
        <v>859</v>
      </c>
      <c r="AO177" s="6">
        <v>988710</v>
      </c>
      <c r="AP177" s="6">
        <v>39793</v>
      </c>
      <c r="AQ177" s="6">
        <v>50938</v>
      </c>
      <c r="AR177" s="6">
        <v>897979</v>
      </c>
      <c r="AS177" s="6">
        <v>89.6</v>
      </c>
      <c r="AT177" s="6">
        <v>81.900000000000006</v>
      </c>
      <c r="AU177" s="6">
        <v>52</v>
      </c>
      <c r="AV177" s="4">
        <v>125</v>
      </c>
      <c r="AW177" s="4">
        <v>133</v>
      </c>
    </row>
    <row r="178" spans="1:49" x14ac:dyDescent="0.2">
      <c r="A178" s="1">
        <v>44549</v>
      </c>
      <c r="B178">
        <v>13.78</v>
      </c>
      <c r="C178" s="1" t="s">
        <v>57</v>
      </c>
      <c r="D178" s="1" t="s">
        <v>62</v>
      </c>
      <c r="E178" s="1" t="s">
        <v>65</v>
      </c>
      <c r="F178" s="1" t="s">
        <v>50</v>
      </c>
      <c r="G178">
        <v>3820</v>
      </c>
      <c r="H178" s="4">
        <v>69.63</v>
      </c>
      <c r="I178" s="4">
        <v>104</v>
      </c>
      <c r="J178" s="4">
        <v>91</v>
      </c>
      <c r="K178" s="8"/>
      <c r="L178" s="4">
        <v>85</v>
      </c>
      <c r="M178" s="4">
        <v>75</v>
      </c>
      <c r="N178" s="4">
        <v>88</v>
      </c>
      <c r="O178" s="4">
        <v>67</v>
      </c>
      <c r="P178" s="4">
        <v>68.346528219545405</v>
      </c>
      <c r="Q178" s="4">
        <v>80.097064050743398</v>
      </c>
      <c r="R178" s="8"/>
      <c r="S178" s="7" t="s">
        <v>34</v>
      </c>
      <c r="T178" s="4">
        <v>553010</v>
      </c>
      <c r="U178" s="4">
        <v>840430</v>
      </c>
      <c r="V178" s="4">
        <v>418</v>
      </c>
      <c r="W178" s="4">
        <v>122400</v>
      </c>
      <c r="X178" s="4">
        <v>198888</v>
      </c>
      <c r="Y178" s="4">
        <v>641430</v>
      </c>
      <c r="Z178" s="4">
        <v>120000</v>
      </c>
      <c r="AA178" s="4">
        <v>2512</v>
      </c>
      <c r="AB178" s="4">
        <v>78875</v>
      </c>
      <c r="AC178" s="4">
        <v>1363434</v>
      </c>
      <c r="AD178" s="4">
        <v>418</v>
      </c>
      <c r="AE178" s="4">
        <v>14597</v>
      </c>
      <c r="AF178" s="4">
        <v>1457324</v>
      </c>
      <c r="AG178" s="6">
        <v>89125</v>
      </c>
      <c r="AH178" s="6">
        <v>82726</v>
      </c>
      <c r="AI178" s="6">
        <v>6399</v>
      </c>
      <c r="AJ178" s="6">
        <v>296607</v>
      </c>
      <c r="AK178" s="6">
        <v>76.900000000000006</v>
      </c>
      <c r="AL178" s="4">
        <v>1019</v>
      </c>
      <c r="AM178" s="4">
        <v>7714</v>
      </c>
      <c r="AN178" s="4">
        <v>858</v>
      </c>
      <c r="AO178" s="6">
        <v>919521</v>
      </c>
      <c r="AP178" s="6">
        <v>33151</v>
      </c>
      <c r="AQ178" s="6">
        <v>39904</v>
      </c>
      <c r="AR178" s="6">
        <v>846466</v>
      </c>
      <c r="AS178" s="6">
        <v>89.5</v>
      </c>
      <c r="AT178" s="6">
        <v>81.8</v>
      </c>
      <c r="AU178" s="6">
        <v>50.4</v>
      </c>
      <c r="AV178" s="4">
        <v>103</v>
      </c>
      <c r="AW178" s="4">
        <v>116</v>
      </c>
    </row>
    <row r="179" spans="1:49" x14ac:dyDescent="0.2">
      <c r="A179" s="1">
        <v>44548</v>
      </c>
      <c r="B179">
        <f>B178</f>
        <v>13.78</v>
      </c>
      <c r="C179" s="1" t="s">
        <v>57</v>
      </c>
      <c r="D179" s="1" t="s">
        <v>62</v>
      </c>
      <c r="E179" s="1" t="s">
        <v>65</v>
      </c>
      <c r="F179" s="1" t="s">
        <v>50</v>
      </c>
      <c r="G179">
        <v>3797</v>
      </c>
      <c r="H179" s="4">
        <v>74.22</v>
      </c>
      <c r="I179" s="4">
        <v>105</v>
      </c>
      <c r="J179" s="4">
        <v>87</v>
      </c>
      <c r="K179" s="8"/>
      <c r="L179" s="4">
        <v>77</v>
      </c>
      <c r="M179" s="4">
        <v>70</v>
      </c>
      <c r="N179" s="4">
        <v>92</v>
      </c>
      <c r="O179" s="4">
        <v>67</v>
      </c>
      <c r="P179" s="4">
        <v>48.005402495818998</v>
      </c>
      <c r="Q179" s="4">
        <v>76.308012978440303</v>
      </c>
      <c r="R179" s="8"/>
      <c r="S179" s="7" t="s">
        <v>34</v>
      </c>
      <c r="T179" s="4">
        <v>513086</v>
      </c>
      <c r="U179" s="4">
        <v>842244</v>
      </c>
      <c r="V179" s="4">
        <v>577</v>
      </c>
      <c r="W179" s="4">
        <v>122400</v>
      </c>
      <c r="X179" s="4">
        <v>198888</v>
      </c>
      <c r="Y179" s="4">
        <v>641520</v>
      </c>
      <c r="Z179" s="4">
        <v>120000</v>
      </c>
      <c r="AA179" s="4">
        <v>4236</v>
      </c>
      <c r="AB179" s="4">
        <v>72353</v>
      </c>
      <c r="AC179" s="4">
        <v>1314639</v>
      </c>
      <c r="AD179" s="4">
        <v>577</v>
      </c>
      <c r="AE179" s="4">
        <v>8889</v>
      </c>
      <c r="AF179" s="4">
        <v>1396458</v>
      </c>
      <c r="AG179" s="6">
        <v>88877</v>
      </c>
      <c r="AH179" s="6">
        <v>82655</v>
      </c>
      <c r="AI179" s="6">
        <v>6222</v>
      </c>
      <c r="AJ179" s="6">
        <v>272766</v>
      </c>
      <c r="AK179" s="6">
        <v>73</v>
      </c>
      <c r="AL179" s="4">
        <v>840</v>
      </c>
      <c r="AM179" s="4">
        <v>7557</v>
      </c>
      <c r="AN179" s="4">
        <v>855</v>
      </c>
      <c r="AO179" s="6">
        <v>1024833</v>
      </c>
      <c r="AP179" s="6">
        <v>38329</v>
      </c>
      <c r="AQ179" s="6">
        <v>45898</v>
      </c>
      <c r="AR179" s="6">
        <v>940606</v>
      </c>
      <c r="AS179" s="6">
        <v>89.5</v>
      </c>
      <c r="AT179" s="6">
        <v>81.7</v>
      </c>
      <c r="AU179" s="6">
        <v>48.9</v>
      </c>
      <c r="AV179" s="4">
        <v>107</v>
      </c>
      <c r="AW179" s="4">
        <v>106</v>
      </c>
    </row>
    <row r="180" spans="1:49" x14ac:dyDescent="0.2">
      <c r="A180" s="1">
        <v>44547</v>
      </c>
      <c r="B180">
        <f t="shared" ref="B180:B184" si="24">B179</f>
        <v>13.78</v>
      </c>
      <c r="C180" s="1" t="s">
        <v>57</v>
      </c>
      <c r="D180" s="1" t="s">
        <v>62</v>
      </c>
      <c r="E180" s="1" t="s">
        <v>65</v>
      </c>
      <c r="F180" s="1" t="s">
        <v>50</v>
      </c>
      <c r="G180">
        <v>3755</v>
      </c>
      <c r="H180" s="4">
        <v>56.68</v>
      </c>
      <c r="I180" s="4">
        <v>113</v>
      </c>
      <c r="J180" s="4">
        <v>57</v>
      </c>
      <c r="K180" s="8"/>
      <c r="L180" s="4">
        <v>87</v>
      </c>
      <c r="M180" s="4">
        <v>73</v>
      </c>
      <c r="N180" s="4">
        <v>99</v>
      </c>
      <c r="O180" s="4">
        <v>58</v>
      </c>
      <c r="P180" s="4">
        <v>47.402579379126799</v>
      </c>
      <c r="Q180" s="4">
        <v>70.665004757505301</v>
      </c>
      <c r="R180" s="8"/>
      <c r="S180" s="7" t="s">
        <v>34</v>
      </c>
      <c r="T180" s="4">
        <v>615792</v>
      </c>
      <c r="U180" s="4">
        <v>841032</v>
      </c>
      <c r="V180" s="4">
        <v>1408</v>
      </c>
      <c r="W180" s="4">
        <v>122400</v>
      </c>
      <c r="X180" s="4">
        <v>198888</v>
      </c>
      <c r="Y180" s="4">
        <v>641630</v>
      </c>
      <c r="Z180" s="4">
        <v>120000</v>
      </c>
      <c r="AA180" s="4">
        <v>2914</v>
      </c>
      <c r="AB180" s="4">
        <v>94689</v>
      </c>
      <c r="AC180" s="4">
        <v>1466238</v>
      </c>
      <c r="AD180" s="4">
        <v>1408</v>
      </c>
      <c r="AE180" s="4">
        <v>12715</v>
      </c>
      <c r="AF180" s="4">
        <v>1575050</v>
      </c>
      <c r="AG180" s="6">
        <v>95870</v>
      </c>
      <c r="AH180" s="6">
        <v>89010</v>
      </c>
      <c r="AI180" s="6">
        <v>6860</v>
      </c>
      <c r="AJ180" s="6">
        <v>242292</v>
      </c>
      <c r="AK180" s="6">
        <v>66.599999999999895</v>
      </c>
      <c r="AL180" s="4">
        <v>880</v>
      </c>
      <c r="AM180" s="4">
        <v>7621</v>
      </c>
      <c r="AN180" s="4">
        <v>879</v>
      </c>
      <c r="AO180" s="6">
        <v>927697</v>
      </c>
      <c r="AP180" s="6">
        <v>32890</v>
      </c>
      <c r="AQ180" s="6">
        <v>42286</v>
      </c>
      <c r="AR180" s="6">
        <v>852521</v>
      </c>
      <c r="AS180" s="6">
        <v>89.4</v>
      </c>
      <c r="AT180" s="6">
        <v>81.7</v>
      </c>
      <c r="AU180" s="6">
        <v>47.3</v>
      </c>
      <c r="AV180" s="4">
        <v>129</v>
      </c>
      <c r="AW180" s="4">
        <v>128</v>
      </c>
    </row>
    <row r="181" spans="1:49" x14ac:dyDescent="0.2">
      <c r="A181" s="1">
        <v>44546</v>
      </c>
      <c r="B181">
        <f t="shared" si="24"/>
        <v>13.78</v>
      </c>
      <c r="C181" s="1" t="s">
        <v>57</v>
      </c>
      <c r="D181" s="1" t="s">
        <v>62</v>
      </c>
      <c r="E181" s="1" t="s">
        <v>65</v>
      </c>
      <c r="F181" s="1" t="s">
        <v>50</v>
      </c>
      <c r="G181">
        <v>3703</v>
      </c>
      <c r="H181" s="4">
        <v>47.02</v>
      </c>
      <c r="I181" s="4">
        <v>113</v>
      </c>
      <c r="J181" s="4">
        <v>57</v>
      </c>
      <c r="K181" s="8"/>
      <c r="L181" s="4">
        <v>98</v>
      </c>
      <c r="M181" s="4">
        <v>76</v>
      </c>
      <c r="N181" s="4">
        <v>101</v>
      </c>
      <c r="O181" s="4">
        <v>56</v>
      </c>
      <c r="P181" s="4">
        <v>49.3356142336266</v>
      </c>
      <c r="Q181" s="4">
        <v>70.927765581563904</v>
      </c>
      <c r="R181" s="8"/>
      <c r="S181" s="7" t="s">
        <v>34</v>
      </c>
      <c r="T181" s="4">
        <v>603083</v>
      </c>
      <c r="U181" s="4">
        <v>820601</v>
      </c>
      <c r="V181" s="4">
        <v>1581</v>
      </c>
      <c r="W181" s="4">
        <v>122400</v>
      </c>
      <c r="X181" s="4">
        <v>198888</v>
      </c>
      <c r="Y181" s="4">
        <v>618470</v>
      </c>
      <c r="Z181" s="4">
        <v>120000</v>
      </c>
      <c r="AA181" s="4">
        <v>5643</v>
      </c>
      <c r="AB181" s="4">
        <v>95044</v>
      </c>
      <c r="AC181" s="4">
        <v>1499790</v>
      </c>
      <c r="AD181" s="4">
        <v>1533</v>
      </c>
      <c r="AE181" s="4">
        <v>13459</v>
      </c>
      <c r="AF181" s="4">
        <v>1609826</v>
      </c>
      <c r="AG181" s="6">
        <v>106040</v>
      </c>
      <c r="AH181" s="6">
        <v>98504</v>
      </c>
      <c r="AI181" s="6">
        <v>7536</v>
      </c>
      <c r="AJ181" s="6">
        <v>205717</v>
      </c>
      <c r="AK181" s="6">
        <v>57.6</v>
      </c>
      <c r="AL181" s="4">
        <v>924</v>
      </c>
      <c r="AM181" s="4">
        <v>7743</v>
      </c>
      <c r="AN181" s="4">
        <v>875</v>
      </c>
      <c r="AO181" s="6">
        <v>936480</v>
      </c>
      <c r="AP181" s="6">
        <v>32677</v>
      </c>
      <c r="AQ181" s="6">
        <v>42497</v>
      </c>
      <c r="AR181" s="6">
        <v>861306</v>
      </c>
      <c r="AS181" s="6">
        <v>89.4</v>
      </c>
      <c r="AT181" s="6">
        <v>81.599999999999994</v>
      </c>
      <c r="AU181" s="6">
        <v>45.8</v>
      </c>
      <c r="AV181" s="4">
        <v>107</v>
      </c>
      <c r="AW181" s="4">
        <v>116</v>
      </c>
    </row>
    <row r="182" spans="1:49" x14ac:dyDescent="0.2">
      <c r="A182" s="1">
        <v>44545</v>
      </c>
      <c r="B182">
        <f t="shared" si="24"/>
        <v>13.78</v>
      </c>
      <c r="C182" s="1" t="s">
        <v>57</v>
      </c>
      <c r="D182" s="1" t="s">
        <v>62</v>
      </c>
      <c r="E182" s="1" t="s">
        <v>65</v>
      </c>
      <c r="F182" s="1" t="s">
        <v>50</v>
      </c>
      <c r="G182">
        <v>3675</v>
      </c>
      <c r="H182" s="4">
        <v>48.8</v>
      </c>
      <c r="I182" s="4">
        <v>113</v>
      </c>
      <c r="J182" s="4">
        <v>58</v>
      </c>
      <c r="K182" s="8"/>
      <c r="L182" s="4">
        <v>98</v>
      </c>
      <c r="M182" s="4">
        <v>78</v>
      </c>
      <c r="N182" s="4">
        <v>101</v>
      </c>
      <c r="O182" s="4">
        <v>58</v>
      </c>
      <c r="P182" s="4">
        <v>52.008196938908704</v>
      </c>
      <c r="Q182" s="4">
        <v>73.341936551844</v>
      </c>
      <c r="R182" s="8"/>
      <c r="S182" s="7" t="s">
        <v>34</v>
      </c>
      <c r="T182" s="4">
        <v>612071</v>
      </c>
      <c r="U182" s="4">
        <v>815168</v>
      </c>
      <c r="V182" s="4">
        <v>3950</v>
      </c>
      <c r="W182" s="4">
        <v>122400</v>
      </c>
      <c r="X182" s="4">
        <v>198888</v>
      </c>
      <c r="Y182" s="4">
        <v>616280</v>
      </c>
      <c r="Z182" s="4">
        <v>120000</v>
      </c>
      <c r="AA182" s="4">
        <v>2400</v>
      </c>
      <c r="AB182" s="4">
        <v>114805</v>
      </c>
      <c r="AC182" s="4">
        <v>1515800</v>
      </c>
      <c r="AD182" s="4">
        <v>1413</v>
      </c>
      <c r="AE182" s="4">
        <v>8488</v>
      </c>
      <c r="AF182" s="4">
        <v>1640506</v>
      </c>
      <c r="AG182" s="6">
        <v>112684</v>
      </c>
      <c r="AH182" s="6">
        <v>105022</v>
      </c>
      <c r="AI182" s="6">
        <v>7662</v>
      </c>
      <c r="AJ182" s="6">
        <v>163324</v>
      </c>
      <c r="AK182" s="6">
        <v>46.6</v>
      </c>
      <c r="AL182" s="4">
        <v>954</v>
      </c>
      <c r="AM182" s="4">
        <v>7723</v>
      </c>
      <c r="AN182" s="4">
        <v>888</v>
      </c>
      <c r="AO182" s="6">
        <v>812044</v>
      </c>
      <c r="AP182" s="6">
        <v>28067</v>
      </c>
      <c r="AQ182" s="6">
        <v>38794</v>
      </c>
      <c r="AR182" s="6">
        <v>745183</v>
      </c>
      <c r="AS182" s="6">
        <v>89.3</v>
      </c>
      <c r="AT182" s="6">
        <v>81.5</v>
      </c>
      <c r="AU182" s="6">
        <v>44.3</v>
      </c>
      <c r="AV182" s="4">
        <v>113</v>
      </c>
      <c r="AW182" s="4">
        <v>118</v>
      </c>
    </row>
    <row r="183" spans="1:49" x14ac:dyDescent="0.2">
      <c r="A183" s="1">
        <v>44544</v>
      </c>
      <c r="B183">
        <f t="shared" si="24"/>
        <v>13.78</v>
      </c>
      <c r="C183" s="1" t="s">
        <v>57</v>
      </c>
      <c r="D183" s="1" t="s">
        <v>62</v>
      </c>
      <c r="E183" s="1" t="s">
        <v>65</v>
      </c>
      <c r="F183" s="1" t="s">
        <v>48</v>
      </c>
      <c r="G183">
        <v>3618</v>
      </c>
      <c r="H183" s="4">
        <v>50.5</v>
      </c>
      <c r="I183" s="4">
        <v>113</v>
      </c>
      <c r="J183" s="4">
        <v>58</v>
      </c>
      <c r="K183" s="8"/>
      <c r="L183" s="4">
        <v>96</v>
      </c>
      <c r="M183" s="4">
        <v>75</v>
      </c>
      <c r="N183" s="4">
        <v>100</v>
      </c>
      <c r="O183" s="4">
        <v>58</v>
      </c>
      <c r="P183" s="4">
        <v>52.0988609236353</v>
      </c>
      <c r="Q183" s="4">
        <v>72.975824799070693</v>
      </c>
      <c r="R183" s="8"/>
      <c r="S183" s="7" t="s">
        <v>34</v>
      </c>
      <c r="T183" s="4">
        <v>567738</v>
      </c>
      <c r="U183" s="4">
        <v>836871</v>
      </c>
      <c r="V183" s="4">
        <v>3421</v>
      </c>
      <c r="W183" s="4">
        <v>122400</v>
      </c>
      <c r="X183" s="4">
        <v>198888</v>
      </c>
      <c r="Y183" s="4">
        <v>634950</v>
      </c>
      <c r="Z183" s="4">
        <v>120000</v>
      </c>
      <c r="AA183" s="4">
        <v>5433</v>
      </c>
      <c r="AB183" s="4">
        <v>115024</v>
      </c>
      <c r="AC183" s="4">
        <v>1194481</v>
      </c>
      <c r="AD183" s="4">
        <v>1177</v>
      </c>
      <c r="AE183" s="4">
        <v>15857</v>
      </c>
      <c r="AF183" s="4">
        <v>1326539</v>
      </c>
      <c r="AG183" s="6">
        <v>102757</v>
      </c>
      <c r="AH183" s="6">
        <v>96305</v>
      </c>
      <c r="AI183" s="6">
        <v>6452</v>
      </c>
      <c r="AJ183" s="6">
        <v>113435</v>
      </c>
      <c r="AK183" s="6">
        <v>32.700000000000003</v>
      </c>
      <c r="AL183" s="4">
        <v>956</v>
      </c>
      <c r="AM183" s="4">
        <v>7798</v>
      </c>
      <c r="AN183" s="4">
        <v>896</v>
      </c>
      <c r="AO183" s="6">
        <v>728681</v>
      </c>
      <c r="AP183" s="6">
        <v>34082</v>
      </c>
      <c r="AQ183" s="6">
        <v>37888</v>
      </c>
      <c r="AR183" s="6">
        <v>656711</v>
      </c>
      <c r="AS183" s="6">
        <v>89.3</v>
      </c>
      <c r="AT183" s="6">
        <v>81.5</v>
      </c>
      <c r="AU183" s="6">
        <v>43</v>
      </c>
      <c r="AV183" s="4">
        <v>128</v>
      </c>
      <c r="AW183" s="4">
        <v>152</v>
      </c>
    </row>
    <row r="184" spans="1:49" x14ac:dyDescent="0.2">
      <c r="A184" s="1">
        <v>44543</v>
      </c>
      <c r="B184">
        <f t="shared" si="24"/>
        <v>13.78</v>
      </c>
      <c r="C184" s="1" t="s">
        <v>57</v>
      </c>
      <c r="D184" s="1" t="s">
        <v>62</v>
      </c>
      <c r="E184" s="1" t="s">
        <v>65</v>
      </c>
      <c r="F184" s="1" t="s">
        <v>48</v>
      </c>
      <c r="G184">
        <v>3538</v>
      </c>
      <c r="H184" s="4">
        <v>53.84</v>
      </c>
      <c r="I184" s="4">
        <v>112</v>
      </c>
      <c r="J184" s="4">
        <v>59</v>
      </c>
      <c r="K184" s="8"/>
      <c r="L184" s="4">
        <v>104</v>
      </c>
      <c r="M184" s="4">
        <v>80</v>
      </c>
      <c r="N184" s="4">
        <v>101</v>
      </c>
      <c r="O184" s="4">
        <v>59</v>
      </c>
      <c r="P184" s="4">
        <v>53.950805949363001</v>
      </c>
      <c r="Q184" s="4">
        <v>73.855412276926501</v>
      </c>
      <c r="R184" s="8"/>
      <c r="S184" s="7" t="s">
        <v>34</v>
      </c>
      <c r="T184" s="4">
        <v>443666</v>
      </c>
      <c r="U184" s="4">
        <v>830578</v>
      </c>
      <c r="V184" s="4">
        <v>8032</v>
      </c>
      <c r="W184" s="4">
        <v>122400</v>
      </c>
      <c r="X184" s="4">
        <v>198888</v>
      </c>
      <c r="Y184" s="4">
        <v>631690</v>
      </c>
      <c r="Z184" s="4">
        <v>120000</v>
      </c>
      <c r="AA184" s="4">
        <v>2400</v>
      </c>
      <c r="AB184" s="4">
        <v>101205</v>
      </c>
      <c r="AC184" s="4">
        <v>1225820</v>
      </c>
      <c r="AD184" s="4">
        <v>1027</v>
      </c>
      <c r="AE184" s="4">
        <v>21296</v>
      </c>
      <c r="AF184" s="4">
        <v>1349348</v>
      </c>
      <c r="AG184" s="6">
        <v>87163</v>
      </c>
      <c r="AH184" s="6">
        <v>82819</v>
      </c>
      <c r="AI184" s="6">
        <v>4344</v>
      </c>
      <c r="AJ184" s="6">
        <v>67458</v>
      </c>
      <c r="AK184" s="6">
        <v>19.5</v>
      </c>
      <c r="AL184" s="4">
        <v>929</v>
      </c>
      <c r="AM184" s="4">
        <v>7798</v>
      </c>
      <c r="AN184" s="4">
        <v>900</v>
      </c>
      <c r="AO184" s="6">
        <v>562800</v>
      </c>
      <c r="AP184" s="6">
        <v>19671</v>
      </c>
      <c r="AQ184" s="6">
        <v>29407</v>
      </c>
      <c r="AR184" s="6">
        <v>513722</v>
      </c>
      <c r="AS184" s="6">
        <v>89.2</v>
      </c>
      <c r="AT184" s="6">
        <v>81.400000000000006</v>
      </c>
      <c r="AU184" s="6">
        <v>41.9</v>
      </c>
      <c r="AV184" s="4">
        <v>104</v>
      </c>
      <c r="AW184" s="4">
        <v>110</v>
      </c>
    </row>
    <row r="185" spans="1:49" x14ac:dyDescent="0.2">
      <c r="A185" s="1">
        <v>44542</v>
      </c>
      <c r="B185">
        <v>11.28</v>
      </c>
      <c r="C185" s="1" t="s">
        <v>57</v>
      </c>
      <c r="D185" s="1" t="s">
        <v>62</v>
      </c>
      <c r="E185" s="1" t="s">
        <v>65</v>
      </c>
      <c r="F185" s="1" t="s">
        <v>48</v>
      </c>
      <c r="G185">
        <v>3466</v>
      </c>
      <c r="H185" s="4">
        <v>84.19</v>
      </c>
      <c r="I185" s="4">
        <v>102</v>
      </c>
      <c r="J185" s="4">
        <v>92</v>
      </c>
      <c r="K185" s="8"/>
      <c r="L185" s="4">
        <v>98</v>
      </c>
      <c r="M185" s="4">
        <v>82</v>
      </c>
      <c r="N185" s="4">
        <v>93</v>
      </c>
      <c r="O185" s="4">
        <v>77</v>
      </c>
      <c r="P185" s="4">
        <v>88.642657309173501</v>
      </c>
      <c r="Q185" s="4">
        <v>85.773686248643799</v>
      </c>
      <c r="R185" s="8"/>
      <c r="S185" s="7" t="s">
        <v>34</v>
      </c>
      <c r="T185" s="4">
        <v>459715</v>
      </c>
      <c r="U185" s="4">
        <v>808888</v>
      </c>
      <c r="V185" s="4">
        <v>412</v>
      </c>
      <c r="W185" s="4">
        <v>122400</v>
      </c>
      <c r="X185" s="4">
        <v>198888</v>
      </c>
      <c r="Y185" s="4">
        <v>610000</v>
      </c>
      <c r="Z185" s="4">
        <v>120000</v>
      </c>
      <c r="AA185" s="4">
        <v>2400</v>
      </c>
      <c r="AB185" s="4">
        <v>80998</v>
      </c>
      <c r="AC185" s="4">
        <v>1158136</v>
      </c>
      <c r="AD185" s="4">
        <v>412</v>
      </c>
      <c r="AE185" s="4">
        <v>16806</v>
      </c>
      <c r="AF185" s="4">
        <v>1256352</v>
      </c>
      <c r="AG185" s="6">
        <v>53151</v>
      </c>
      <c r="AH185" s="6">
        <v>51116</v>
      </c>
      <c r="AI185" s="6">
        <v>2035</v>
      </c>
      <c r="AJ185" s="6">
        <v>43336</v>
      </c>
      <c r="AK185" s="6">
        <v>12.6999999999999</v>
      </c>
      <c r="AL185" s="4">
        <v>868</v>
      </c>
      <c r="AM185" s="4">
        <v>7578</v>
      </c>
      <c r="AN185" s="4">
        <v>893</v>
      </c>
      <c r="AO185" s="6">
        <v>451044</v>
      </c>
      <c r="AP185" s="6">
        <v>23317</v>
      </c>
      <c r="AQ185" s="6">
        <v>30195</v>
      </c>
      <c r="AR185" s="6">
        <v>397532</v>
      </c>
      <c r="AS185" s="6">
        <v>89.2</v>
      </c>
      <c r="AT185" s="6">
        <v>81.3</v>
      </c>
      <c r="AU185" s="6">
        <v>41</v>
      </c>
      <c r="AV185" s="4">
        <v>122</v>
      </c>
      <c r="AW185" s="4">
        <v>134</v>
      </c>
    </row>
    <row r="186" spans="1:49" x14ac:dyDescent="0.2">
      <c r="A186" s="1">
        <v>44541</v>
      </c>
      <c r="B186">
        <f>B185</f>
        <v>11.28</v>
      </c>
      <c r="C186" s="1" t="s">
        <v>57</v>
      </c>
      <c r="D186" s="1" t="s">
        <v>62</v>
      </c>
      <c r="E186" s="1" t="s">
        <v>65</v>
      </c>
      <c r="F186" s="1" t="s">
        <v>48</v>
      </c>
      <c r="G186">
        <v>3402</v>
      </c>
      <c r="H186" s="4">
        <v>90.27</v>
      </c>
      <c r="I186" s="4">
        <v>103</v>
      </c>
      <c r="J186" s="4">
        <v>91</v>
      </c>
      <c r="K186" s="8"/>
      <c r="L186" s="4">
        <v>78</v>
      </c>
      <c r="M186" s="4">
        <v>78</v>
      </c>
      <c r="N186" s="4">
        <v>93</v>
      </c>
      <c r="O186" s="4">
        <v>78</v>
      </c>
      <c r="P186" s="4">
        <v>82.470645193578704</v>
      </c>
      <c r="Q186" s="4">
        <v>79.551437555206903</v>
      </c>
      <c r="R186" s="8"/>
      <c r="S186" s="7" t="s">
        <v>34</v>
      </c>
      <c r="T186" s="4">
        <v>403509</v>
      </c>
      <c r="U186" s="4">
        <v>812066</v>
      </c>
      <c r="V186" s="4">
        <v>543</v>
      </c>
      <c r="W186" s="4">
        <v>122400</v>
      </c>
      <c r="X186" s="4">
        <v>198888</v>
      </c>
      <c r="Y186" s="4">
        <v>610000</v>
      </c>
      <c r="Z186" s="4">
        <v>120000</v>
      </c>
      <c r="AA186" s="4">
        <v>5578</v>
      </c>
      <c r="AB186" s="4">
        <v>72954</v>
      </c>
      <c r="AC186" s="4">
        <v>911843</v>
      </c>
      <c r="AD186" s="4">
        <v>543</v>
      </c>
      <c r="AE186" s="4">
        <v>15199</v>
      </c>
      <c r="AF186" s="4">
        <v>1000539</v>
      </c>
      <c r="AG186" s="6">
        <v>48592</v>
      </c>
      <c r="AH186" s="6">
        <v>47009</v>
      </c>
      <c r="AI186" s="6">
        <v>1583</v>
      </c>
      <c r="AJ186" s="6">
        <v>32529</v>
      </c>
      <c r="AK186" s="6">
        <v>9.5</v>
      </c>
      <c r="AL186" s="4">
        <v>793</v>
      </c>
      <c r="AM186" s="4">
        <v>7455</v>
      </c>
      <c r="AN186" s="4">
        <v>883</v>
      </c>
      <c r="AO186" s="6">
        <v>615528</v>
      </c>
      <c r="AP186" s="6">
        <v>26291</v>
      </c>
      <c r="AQ186" s="6">
        <v>38984</v>
      </c>
      <c r="AR186" s="6">
        <v>550253</v>
      </c>
      <c r="AS186" s="6">
        <v>89.1</v>
      </c>
      <c r="AT186" s="6">
        <v>81.3</v>
      </c>
      <c r="AU186" s="6">
        <v>40.299999999999997</v>
      </c>
      <c r="AV186" s="4">
        <v>96</v>
      </c>
      <c r="AW186" s="4">
        <v>107</v>
      </c>
    </row>
    <row r="187" spans="1:49" x14ac:dyDescent="0.2">
      <c r="A187" s="1">
        <v>44540</v>
      </c>
      <c r="B187">
        <f t="shared" ref="B187:B191" si="25">B186</f>
        <v>11.28</v>
      </c>
      <c r="C187" s="1" t="s">
        <v>57</v>
      </c>
      <c r="D187" s="1" t="s">
        <v>62</v>
      </c>
      <c r="E187" s="1" t="s">
        <v>65</v>
      </c>
      <c r="F187" s="1" t="s">
        <v>48</v>
      </c>
      <c r="G187">
        <v>3327</v>
      </c>
      <c r="H187" s="4">
        <v>75.2</v>
      </c>
      <c r="I187" s="4">
        <v>110</v>
      </c>
      <c r="J187" s="4">
        <v>65</v>
      </c>
      <c r="K187" s="8"/>
      <c r="L187" s="4">
        <v>91</v>
      </c>
      <c r="M187" s="4">
        <v>78</v>
      </c>
      <c r="N187" s="4">
        <v>98</v>
      </c>
      <c r="O187" s="4">
        <v>66</v>
      </c>
      <c r="P187" s="4">
        <v>64.467464792709293</v>
      </c>
      <c r="Q187" s="4">
        <v>78.326478774173196</v>
      </c>
      <c r="R187" s="8"/>
      <c r="S187" s="7" t="s">
        <v>34</v>
      </c>
      <c r="T187" s="4">
        <v>539374</v>
      </c>
      <c r="U187" s="4">
        <v>804134</v>
      </c>
      <c r="V187" s="4">
        <v>6114</v>
      </c>
      <c r="W187" s="4">
        <v>122400</v>
      </c>
      <c r="X187" s="4">
        <v>198888</v>
      </c>
      <c r="Y187" s="4">
        <v>602500</v>
      </c>
      <c r="Z187" s="4">
        <v>120000</v>
      </c>
      <c r="AA187" s="4">
        <v>5146</v>
      </c>
      <c r="AB187" s="4">
        <v>95581</v>
      </c>
      <c r="AC187" s="4">
        <v>1081617</v>
      </c>
      <c r="AD187" s="4">
        <v>1560</v>
      </c>
      <c r="AE187" s="4">
        <v>20097</v>
      </c>
      <c r="AF187" s="4">
        <v>1198855</v>
      </c>
      <c r="AG187" s="6">
        <v>52479</v>
      </c>
      <c r="AH187" s="6">
        <v>50836</v>
      </c>
      <c r="AI187" s="6">
        <v>1643</v>
      </c>
      <c r="AJ187" s="6">
        <v>28206</v>
      </c>
      <c r="AK187" s="6">
        <v>8.4</v>
      </c>
      <c r="AL187" s="4">
        <v>831</v>
      </c>
      <c r="AM187" s="4">
        <v>7489</v>
      </c>
      <c r="AN187" s="4">
        <v>901</v>
      </c>
      <c r="AO187" s="6">
        <v>482986</v>
      </c>
      <c r="AP187" s="6">
        <v>22063</v>
      </c>
      <c r="AQ187" s="6">
        <v>31962</v>
      </c>
      <c r="AR187" s="6">
        <v>428961</v>
      </c>
      <c r="AS187" s="6">
        <v>89.1</v>
      </c>
      <c r="AT187" s="6">
        <v>81.2</v>
      </c>
      <c r="AU187" s="6">
        <v>39.299999999999997</v>
      </c>
      <c r="AV187" s="4">
        <v>109</v>
      </c>
      <c r="AW187" s="4">
        <v>121</v>
      </c>
    </row>
    <row r="188" spans="1:49" x14ac:dyDescent="0.2">
      <c r="A188" s="1">
        <v>44539</v>
      </c>
      <c r="B188">
        <f t="shared" si="25"/>
        <v>11.28</v>
      </c>
      <c r="C188" s="1" t="s">
        <v>57</v>
      </c>
      <c r="D188" s="1" t="s">
        <v>62</v>
      </c>
      <c r="E188" s="1" t="s">
        <v>69</v>
      </c>
      <c r="F188" s="1" t="s">
        <v>48</v>
      </c>
      <c r="G188">
        <v>3301</v>
      </c>
      <c r="H188" s="4">
        <v>77.53</v>
      </c>
      <c r="I188" s="4">
        <v>110</v>
      </c>
      <c r="J188" s="4">
        <v>66</v>
      </c>
      <c r="K188" s="8"/>
      <c r="L188" s="4">
        <v>102</v>
      </c>
      <c r="M188" s="4">
        <v>82</v>
      </c>
      <c r="N188" s="4">
        <v>99</v>
      </c>
      <c r="O188" s="4">
        <v>65</v>
      </c>
      <c r="P188" s="4">
        <v>66.648976915480105</v>
      </c>
      <c r="Q188" s="4">
        <v>78.109745797883505</v>
      </c>
      <c r="R188" s="8"/>
      <c r="S188" s="7" t="s">
        <v>34</v>
      </c>
      <c r="T188" s="4">
        <v>566058</v>
      </c>
      <c r="U188" s="4">
        <v>794336</v>
      </c>
      <c r="V188" s="4">
        <v>3875</v>
      </c>
      <c r="W188" s="4">
        <v>122400</v>
      </c>
      <c r="X188" s="4">
        <v>198862</v>
      </c>
      <c r="Y188" s="4">
        <v>590030</v>
      </c>
      <c r="Z188" s="4">
        <v>120000</v>
      </c>
      <c r="AA188" s="4">
        <v>7844</v>
      </c>
      <c r="AB188" s="4">
        <v>93688</v>
      </c>
      <c r="AC188" s="4">
        <v>1200125</v>
      </c>
      <c r="AD188" s="4">
        <v>1732</v>
      </c>
      <c r="AE188" s="4">
        <v>22145</v>
      </c>
      <c r="AF188" s="4">
        <v>1317690</v>
      </c>
      <c r="AG188" s="6">
        <v>56983</v>
      </c>
      <c r="AH188" s="6">
        <v>55231</v>
      </c>
      <c r="AI188" s="6">
        <v>1752</v>
      </c>
      <c r="AJ188" s="6">
        <v>27726</v>
      </c>
      <c r="AK188" s="6">
        <v>8.4</v>
      </c>
      <c r="AL188" s="4">
        <v>953</v>
      </c>
      <c r="AM188" s="4">
        <v>7535</v>
      </c>
      <c r="AN188" s="4">
        <v>900</v>
      </c>
      <c r="AO188" s="6">
        <v>527342</v>
      </c>
      <c r="AP188" s="6">
        <v>24039</v>
      </c>
      <c r="AQ188" s="6">
        <v>33824</v>
      </c>
      <c r="AR188" s="6">
        <v>469479</v>
      </c>
      <c r="AS188" s="6">
        <v>89</v>
      </c>
      <c r="AT188" s="6">
        <v>81.2</v>
      </c>
      <c r="AU188" s="6">
        <v>38.6</v>
      </c>
      <c r="AV188" s="4">
        <v>125</v>
      </c>
      <c r="AW188" s="4">
        <v>132</v>
      </c>
    </row>
    <row r="189" spans="1:49" x14ac:dyDescent="0.2">
      <c r="A189" s="1">
        <v>44538</v>
      </c>
      <c r="B189">
        <f t="shared" si="25"/>
        <v>11.28</v>
      </c>
      <c r="C189" s="1" t="s">
        <v>57</v>
      </c>
      <c r="D189" s="1" t="s">
        <v>62</v>
      </c>
      <c r="E189" s="1" t="s">
        <v>69</v>
      </c>
      <c r="F189" s="1" t="s">
        <v>48</v>
      </c>
      <c r="G189">
        <v>3270</v>
      </c>
      <c r="H189" s="4">
        <v>73.27</v>
      </c>
      <c r="I189" s="4">
        <v>110</v>
      </c>
      <c r="J189" s="4">
        <v>65</v>
      </c>
      <c r="K189" s="8"/>
      <c r="L189" s="4">
        <v>94</v>
      </c>
      <c r="M189" s="4">
        <v>80</v>
      </c>
      <c r="N189" s="4">
        <v>97</v>
      </c>
      <c r="O189" s="4">
        <v>64</v>
      </c>
      <c r="P189" s="4">
        <v>65.304135201768702</v>
      </c>
      <c r="Q189" s="4">
        <v>76.577784725182894</v>
      </c>
      <c r="R189" s="8"/>
      <c r="S189" s="7" t="s">
        <v>34</v>
      </c>
      <c r="T189" s="4">
        <v>525286</v>
      </c>
      <c r="U189" s="4">
        <v>793569</v>
      </c>
      <c r="V189" s="4">
        <v>2632</v>
      </c>
      <c r="W189" s="4">
        <v>122400</v>
      </c>
      <c r="X189" s="4">
        <v>198862</v>
      </c>
      <c r="Y189" s="4">
        <v>589910</v>
      </c>
      <c r="Z189" s="4">
        <v>120000</v>
      </c>
      <c r="AA189" s="4">
        <v>7197</v>
      </c>
      <c r="AB189" s="4">
        <v>108631</v>
      </c>
      <c r="AC189" s="4">
        <v>1155350</v>
      </c>
      <c r="AD189" s="4">
        <v>1194</v>
      </c>
      <c r="AE189" s="4">
        <v>20975</v>
      </c>
      <c r="AF189" s="4">
        <v>1286150</v>
      </c>
      <c r="AG189" s="6">
        <v>58805</v>
      </c>
      <c r="AH189" s="6">
        <v>57168</v>
      </c>
      <c r="AI189" s="6">
        <v>1637</v>
      </c>
      <c r="AJ189" s="6">
        <v>27966</v>
      </c>
      <c r="AK189" s="6">
        <v>8.6999999999999904</v>
      </c>
      <c r="AL189" s="4">
        <v>888</v>
      </c>
      <c r="AM189" s="4">
        <v>7466</v>
      </c>
      <c r="AN189" s="4">
        <v>890</v>
      </c>
      <c r="AO189" s="6">
        <v>465782</v>
      </c>
      <c r="AP189" s="6">
        <v>21700</v>
      </c>
      <c r="AQ189" s="6">
        <v>29437</v>
      </c>
      <c r="AR189" s="6">
        <v>414645</v>
      </c>
      <c r="AS189" s="6">
        <v>89</v>
      </c>
      <c r="AT189" s="6">
        <v>81.099999999999994</v>
      </c>
      <c r="AU189" s="6">
        <v>37.799999999999997</v>
      </c>
      <c r="AV189" s="4">
        <v>113</v>
      </c>
      <c r="AW189" s="4">
        <v>130</v>
      </c>
    </row>
    <row r="190" spans="1:49" x14ac:dyDescent="0.2">
      <c r="A190" s="1">
        <v>44537</v>
      </c>
      <c r="B190">
        <f t="shared" si="25"/>
        <v>11.28</v>
      </c>
      <c r="C190" s="1" t="s">
        <v>57</v>
      </c>
      <c r="D190" s="1" t="s">
        <v>62</v>
      </c>
      <c r="E190" s="1" t="s">
        <v>69</v>
      </c>
      <c r="F190" s="1" t="s">
        <v>48</v>
      </c>
      <c r="G190">
        <v>3233</v>
      </c>
      <c r="H190" s="4">
        <v>68.78</v>
      </c>
      <c r="I190" s="4">
        <v>111</v>
      </c>
      <c r="J190" s="4">
        <v>63</v>
      </c>
      <c r="K190" s="8"/>
      <c r="L190" s="4">
        <v>79</v>
      </c>
      <c r="M190" s="4">
        <v>74</v>
      </c>
      <c r="N190" s="4">
        <v>92</v>
      </c>
      <c r="O190" s="4">
        <v>63</v>
      </c>
      <c r="P190" s="4">
        <v>63.571000487435001</v>
      </c>
      <c r="Q190" s="4">
        <v>74.615513805046604</v>
      </c>
      <c r="R190" s="8"/>
      <c r="S190" s="7" t="s">
        <v>34</v>
      </c>
      <c r="T190" s="4">
        <v>492002</v>
      </c>
      <c r="U190" s="4">
        <v>802694</v>
      </c>
      <c r="V190" s="4">
        <v>2432</v>
      </c>
      <c r="W190" s="4">
        <v>122400</v>
      </c>
      <c r="X190" s="4">
        <v>198862</v>
      </c>
      <c r="Y190" s="4">
        <v>599890</v>
      </c>
      <c r="Z190" s="4">
        <v>120000</v>
      </c>
      <c r="AA190" s="4">
        <v>6342</v>
      </c>
      <c r="AB190" s="4">
        <v>112192</v>
      </c>
      <c r="AC190" s="4">
        <v>928027</v>
      </c>
      <c r="AD190" s="4">
        <v>1497</v>
      </c>
      <c r="AE190" s="4">
        <v>21430</v>
      </c>
      <c r="AF190" s="4">
        <v>1063146</v>
      </c>
      <c r="AG190" s="6">
        <v>56234</v>
      </c>
      <c r="AH190" s="6">
        <v>54808</v>
      </c>
      <c r="AI190" s="6">
        <v>1426</v>
      </c>
      <c r="AJ190" s="6">
        <v>32028</v>
      </c>
      <c r="AK190" s="6">
        <v>10.1999999999999</v>
      </c>
      <c r="AL190" s="4">
        <v>945</v>
      </c>
      <c r="AM190" s="4">
        <v>7447</v>
      </c>
      <c r="AN190" s="4">
        <v>880</v>
      </c>
      <c r="AO190" s="6">
        <v>442937</v>
      </c>
      <c r="AP190" s="6">
        <v>23512</v>
      </c>
      <c r="AQ190" s="6">
        <v>28375</v>
      </c>
      <c r="AR190" s="6">
        <v>391050</v>
      </c>
      <c r="AS190" s="6">
        <v>89</v>
      </c>
      <c r="AT190" s="6">
        <v>81.099999999999994</v>
      </c>
      <c r="AU190" s="6">
        <v>37</v>
      </c>
      <c r="AV190" s="4">
        <v>121</v>
      </c>
      <c r="AW190" s="4">
        <v>129</v>
      </c>
    </row>
    <row r="191" spans="1:49" x14ac:dyDescent="0.2">
      <c r="A191" s="1">
        <v>44536</v>
      </c>
      <c r="B191">
        <f t="shared" si="25"/>
        <v>11.28</v>
      </c>
      <c r="C191" s="1" t="s">
        <v>57</v>
      </c>
      <c r="D191" s="1" t="s">
        <v>62</v>
      </c>
      <c r="E191" s="1" t="s">
        <v>69</v>
      </c>
      <c r="F191" s="1" t="s">
        <v>48</v>
      </c>
      <c r="G191">
        <v>3195</v>
      </c>
      <c r="H191" s="4">
        <v>65.5</v>
      </c>
      <c r="I191" s="4">
        <v>111</v>
      </c>
      <c r="J191" s="4">
        <v>62</v>
      </c>
      <c r="K191" s="8"/>
      <c r="L191" s="4">
        <v>93</v>
      </c>
      <c r="M191" s="4">
        <v>79</v>
      </c>
      <c r="N191" s="4">
        <v>96</v>
      </c>
      <c r="O191" s="4">
        <v>62</v>
      </c>
      <c r="P191" s="4">
        <v>61.301364367731999</v>
      </c>
      <c r="Q191" s="4">
        <v>75.115635026470599</v>
      </c>
      <c r="R191" s="8"/>
      <c r="S191" s="7" t="s">
        <v>34</v>
      </c>
      <c r="T191" s="4">
        <v>398189</v>
      </c>
      <c r="U191" s="4">
        <v>779381</v>
      </c>
      <c r="V191" s="4">
        <v>1149</v>
      </c>
      <c r="W191" s="4">
        <v>122400</v>
      </c>
      <c r="X191" s="4">
        <v>198862</v>
      </c>
      <c r="Y191" s="4">
        <v>577980</v>
      </c>
      <c r="Z191" s="4">
        <v>120000</v>
      </c>
      <c r="AA191" s="4">
        <v>4939</v>
      </c>
      <c r="AB191" s="4">
        <v>99199</v>
      </c>
      <c r="AC191" s="4">
        <v>1008212</v>
      </c>
      <c r="AD191" s="4">
        <v>897</v>
      </c>
      <c r="AE191" s="4">
        <v>29170</v>
      </c>
      <c r="AF191" s="4">
        <v>1137478</v>
      </c>
      <c r="AG191" s="6">
        <v>59665</v>
      </c>
      <c r="AH191" s="6">
        <v>58394</v>
      </c>
      <c r="AI191" s="6">
        <v>1271</v>
      </c>
      <c r="AJ191" s="6">
        <v>38980</v>
      </c>
      <c r="AK191" s="6">
        <v>12.6999999999999</v>
      </c>
      <c r="AL191" s="4">
        <v>870</v>
      </c>
      <c r="AM191" s="4">
        <v>7462</v>
      </c>
      <c r="AN191" s="4">
        <v>901</v>
      </c>
      <c r="AO191" s="6">
        <v>374156</v>
      </c>
      <c r="AP191" s="6">
        <v>19979</v>
      </c>
      <c r="AQ191" s="6">
        <v>25012</v>
      </c>
      <c r="AR191" s="6">
        <v>329165</v>
      </c>
      <c r="AS191" s="6">
        <v>88.9</v>
      </c>
      <c r="AT191" s="6">
        <v>81</v>
      </c>
      <c r="AU191" s="6">
        <v>36.4</v>
      </c>
      <c r="AV191" s="4">
        <v>137</v>
      </c>
      <c r="AW191" s="4">
        <v>143</v>
      </c>
    </row>
    <row r="192" spans="1:49" x14ac:dyDescent="0.2">
      <c r="A192" s="1">
        <v>44535</v>
      </c>
      <c r="B192">
        <v>12.48</v>
      </c>
      <c r="C192" s="1" t="s">
        <v>57</v>
      </c>
      <c r="D192" s="1" t="s">
        <v>62</v>
      </c>
      <c r="E192" s="1" t="s">
        <v>69</v>
      </c>
      <c r="F192" s="1" t="s">
        <v>48</v>
      </c>
      <c r="G192">
        <v>3198</v>
      </c>
      <c r="H192" s="4">
        <v>85.44</v>
      </c>
      <c r="I192" s="4">
        <v>103</v>
      </c>
      <c r="J192" s="4">
        <v>89</v>
      </c>
      <c r="K192" s="8"/>
      <c r="L192" s="4">
        <v>81</v>
      </c>
      <c r="M192" s="4">
        <v>82</v>
      </c>
      <c r="N192" s="4">
        <v>90</v>
      </c>
      <c r="O192" s="4">
        <v>76</v>
      </c>
      <c r="P192" s="4">
        <v>91.5121791057027</v>
      </c>
      <c r="Q192" s="4">
        <v>83.501790006237599</v>
      </c>
      <c r="R192" s="8"/>
      <c r="S192" s="7" t="s">
        <v>34</v>
      </c>
      <c r="T192" s="4">
        <v>457896</v>
      </c>
      <c r="U192" s="4">
        <v>751600</v>
      </c>
      <c r="V192" s="4">
        <v>1814</v>
      </c>
      <c r="W192" s="4">
        <v>122400</v>
      </c>
      <c r="X192" s="4">
        <v>198862</v>
      </c>
      <c r="Y192" s="4">
        <v>549990</v>
      </c>
      <c r="Z192" s="4">
        <v>120000</v>
      </c>
      <c r="AA192" s="4">
        <v>5148</v>
      </c>
      <c r="AB192" s="4">
        <v>77147</v>
      </c>
      <c r="AC192" s="4">
        <v>1040136</v>
      </c>
      <c r="AD192" s="4">
        <v>260</v>
      </c>
      <c r="AE192" s="4">
        <v>14466</v>
      </c>
      <c r="AF192" s="4">
        <v>1132009</v>
      </c>
      <c r="AG192" s="6">
        <v>41018</v>
      </c>
      <c r="AH192" s="6">
        <v>40340</v>
      </c>
      <c r="AI192" s="6">
        <v>678</v>
      </c>
      <c r="AJ192" s="6">
        <v>41168</v>
      </c>
      <c r="AK192" s="6">
        <v>13.6999999999999</v>
      </c>
      <c r="AL192" s="4">
        <v>845</v>
      </c>
      <c r="AM192" s="4">
        <v>7353</v>
      </c>
      <c r="AN192" s="4">
        <v>882</v>
      </c>
      <c r="AO192" s="6">
        <v>339286</v>
      </c>
      <c r="AP192" s="6">
        <v>21955</v>
      </c>
      <c r="AQ192" s="6">
        <v>27166</v>
      </c>
      <c r="AR192" s="6">
        <v>290165</v>
      </c>
      <c r="AS192" s="6">
        <v>88.9</v>
      </c>
      <c r="AT192" s="6">
        <v>81</v>
      </c>
      <c r="AU192" s="6">
        <v>35.799999999999997</v>
      </c>
      <c r="AV192" s="4">
        <v>111</v>
      </c>
      <c r="AW192" s="4">
        <v>115</v>
      </c>
    </row>
    <row r="193" spans="1:49" x14ac:dyDescent="0.2">
      <c r="A193" s="1">
        <v>44534</v>
      </c>
      <c r="B193">
        <f>B192</f>
        <v>12.48</v>
      </c>
      <c r="C193" s="1" t="s">
        <v>57</v>
      </c>
      <c r="D193" s="1" t="s">
        <v>62</v>
      </c>
      <c r="E193" s="1" t="s">
        <v>69</v>
      </c>
      <c r="F193" s="1" t="s">
        <v>48</v>
      </c>
      <c r="G193">
        <v>3194</v>
      </c>
      <c r="H193" s="4">
        <v>91.53</v>
      </c>
      <c r="I193" s="4">
        <v>103</v>
      </c>
      <c r="J193" s="4">
        <v>89</v>
      </c>
      <c r="K193" s="8"/>
      <c r="L193" s="4">
        <v>91</v>
      </c>
      <c r="M193" s="4">
        <v>82</v>
      </c>
      <c r="N193" s="4">
        <v>95</v>
      </c>
      <c r="O193" s="4">
        <v>80</v>
      </c>
      <c r="P193" s="4">
        <v>86.397627300818399</v>
      </c>
      <c r="Q193" s="4">
        <v>82.206764204868094</v>
      </c>
      <c r="R193" s="8"/>
      <c r="S193" s="7" t="s">
        <v>34</v>
      </c>
      <c r="T193" s="4">
        <v>444060</v>
      </c>
      <c r="U193" s="4">
        <v>758643</v>
      </c>
      <c r="V193" s="4">
        <v>2653</v>
      </c>
      <c r="W193" s="4">
        <v>122400</v>
      </c>
      <c r="X193" s="4">
        <v>198862</v>
      </c>
      <c r="Y193" s="4">
        <v>550290</v>
      </c>
      <c r="Z193" s="4">
        <v>120000</v>
      </c>
      <c r="AA193" s="4">
        <v>11891</v>
      </c>
      <c r="AB193" s="4">
        <v>71931</v>
      </c>
      <c r="AC193" s="4">
        <v>769071</v>
      </c>
      <c r="AD193" s="4">
        <v>586</v>
      </c>
      <c r="AE193" s="4">
        <v>25322</v>
      </c>
      <c r="AF193" s="4">
        <v>866910</v>
      </c>
      <c r="AG193" s="6">
        <v>38781</v>
      </c>
      <c r="AH193" s="6">
        <v>38138</v>
      </c>
      <c r="AI193" s="6">
        <v>643</v>
      </c>
      <c r="AJ193" s="6">
        <v>42289</v>
      </c>
      <c r="AK193" s="6">
        <v>14.0999999999999</v>
      </c>
      <c r="AL193" s="4">
        <v>750</v>
      </c>
      <c r="AM193" s="4">
        <v>7250</v>
      </c>
      <c r="AN193" s="4">
        <v>895</v>
      </c>
      <c r="AO193" s="6">
        <v>529328</v>
      </c>
      <c r="AP193" s="6">
        <v>26914</v>
      </c>
      <c r="AQ193" s="6">
        <v>37798</v>
      </c>
      <c r="AR193" s="6">
        <v>464616</v>
      </c>
      <c r="AS193" s="6">
        <v>88.9</v>
      </c>
      <c r="AT193" s="6">
        <v>80.900000000000006</v>
      </c>
      <c r="AU193" s="6">
        <v>35.299999999999997</v>
      </c>
      <c r="AV193" s="4">
        <v>147</v>
      </c>
      <c r="AW193" s="4">
        <v>161</v>
      </c>
    </row>
    <row r="194" spans="1:49" x14ac:dyDescent="0.2">
      <c r="A194" s="1">
        <v>44533</v>
      </c>
      <c r="B194">
        <f t="shared" ref="B194:B198" si="26">B193</f>
        <v>12.48</v>
      </c>
      <c r="C194" s="1" t="s">
        <v>57</v>
      </c>
      <c r="D194" s="1" t="s">
        <v>62</v>
      </c>
      <c r="E194" s="1" t="s">
        <v>69</v>
      </c>
      <c r="F194" s="1" t="s">
        <v>48</v>
      </c>
      <c r="G194">
        <v>3221</v>
      </c>
      <c r="H194" s="4">
        <v>77.08</v>
      </c>
      <c r="I194" s="4">
        <v>110</v>
      </c>
      <c r="J194" s="4">
        <v>64</v>
      </c>
      <c r="K194" s="8"/>
      <c r="L194" s="4">
        <v>91</v>
      </c>
      <c r="M194" s="4">
        <v>78</v>
      </c>
      <c r="N194" s="4">
        <v>98</v>
      </c>
      <c r="O194" s="4">
        <v>67</v>
      </c>
      <c r="P194" s="4">
        <v>65.143467795168803</v>
      </c>
      <c r="Q194" s="4">
        <v>77.7027731603972</v>
      </c>
      <c r="R194" s="8"/>
      <c r="S194" s="7" t="s">
        <v>34</v>
      </c>
      <c r="T194" s="4">
        <v>526146</v>
      </c>
      <c r="U194" s="4">
        <v>749102</v>
      </c>
      <c r="V194" s="4">
        <v>3544</v>
      </c>
      <c r="W194" s="4">
        <v>122400</v>
      </c>
      <c r="X194" s="4">
        <v>198862</v>
      </c>
      <c r="Y194" s="4">
        <v>550240</v>
      </c>
      <c r="Z194" s="4">
        <v>120000</v>
      </c>
      <c r="AA194" s="4">
        <v>2400</v>
      </c>
      <c r="AB194" s="4">
        <v>91010</v>
      </c>
      <c r="AC194" s="4">
        <v>955731</v>
      </c>
      <c r="AD194" s="4">
        <v>1533</v>
      </c>
      <c r="AE194" s="4">
        <v>18712</v>
      </c>
      <c r="AF194" s="4">
        <v>1066986</v>
      </c>
      <c r="AG194" s="6">
        <v>45663</v>
      </c>
      <c r="AH194" s="6">
        <v>44981</v>
      </c>
      <c r="AI194" s="6">
        <v>682</v>
      </c>
      <c r="AJ194" s="6">
        <v>34763</v>
      </c>
      <c r="AK194" s="6">
        <v>11.5</v>
      </c>
      <c r="AL194" s="4">
        <v>736</v>
      </c>
      <c r="AM194" s="4">
        <v>7396</v>
      </c>
      <c r="AN194" s="4">
        <v>900</v>
      </c>
      <c r="AO194" s="6">
        <v>442053</v>
      </c>
      <c r="AP194" s="6">
        <v>23264</v>
      </c>
      <c r="AQ194" s="6">
        <v>29811</v>
      </c>
      <c r="AR194" s="6">
        <v>388978</v>
      </c>
      <c r="AS194" s="6">
        <v>88.8</v>
      </c>
      <c r="AT194" s="6">
        <v>80.8</v>
      </c>
      <c r="AU194" s="6">
        <v>34.5</v>
      </c>
      <c r="AV194" s="4">
        <v>133</v>
      </c>
      <c r="AW194" s="4">
        <v>147</v>
      </c>
    </row>
    <row r="195" spans="1:49" x14ac:dyDescent="0.2">
      <c r="A195" s="1">
        <v>44532</v>
      </c>
      <c r="B195">
        <f t="shared" si="26"/>
        <v>12.48</v>
      </c>
      <c r="C195" s="1" t="s">
        <v>57</v>
      </c>
      <c r="D195" s="1" t="s">
        <v>62</v>
      </c>
      <c r="E195" s="1" t="s">
        <v>69</v>
      </c>
      <c r="F195" s="1" t="s">
        <v>48</v>
      </c>
      <c r="G195">
        <v>3232</v>
      </c>
      <c r="H195" s="4">
        <v>74.7</v>
      </c>
      <c r="I195" s="4">
        <v>110</v>
      </c>
      <c r="J195" s="4">
        <v>65</v>
      </c>
      <c r="K195" s="8"/>
      <c r="L195" s="4">
        <v>97</v>
      </c>
      <c r="M195" s="4">
        <v>81</v>
      </c>
      <c r="N195" s="4">
        <v>98</v>
      </c>
      <c r="O195" s="4">
        <v>65</v>
      </c>
      <c r="P195" s="4">
        <v>67.842677935316701</v>
      </c>
      <c r="Q195" s="4">
        <v>77.844178654572403</v>
      </c>
      <c r="R195" s="8"/>
      <c r="S195" s="7" t="s">
        <v>34</v>
      </c>
      <c r="T195" s="4">
        <v>493342</v>
      </c>
      <c r="U195" s="4">
        <v>783816</v>
      </c>
      <c r="V195" s="4">
        <v>3483</v>
      </c>
      <c r="W195" s="4">
        <v>122400</v>
      </c>
      <c r="X195" s="4">
        <v>198886</v>
      </c>
      <c r="Y195" s="4">
        <v>584930</v>
      </c>
      <c r="Z195" s="4">
        <v>120000</v>
      </c>
      <c r="AA195" s="4">
        <v>2400</v>
      </c>
      <c r="AB195" s="4">
        <v>91133</v>
      </c>
      <c r="AC195" s="4">
        <v>1036816</v>
      </c>
      <c r="AD195" s="4">
        <v>1537</v>
      </c>
      <c r="AE195" s="4">
        <v>6036</v>
      </c>
      <c r="AF195" s="4">
        <v>1135522</v>
      </c>
      <c r="AG195" s="6">
        <v>50319</v>
      </c>
      <c r="AH195" s="6">
        <v>49565</v>
      </c>
      <c r="AI195" s="6">
        <v>754</v>
      </c>
      <c r="AJ195" s="6">
        <v>28158</v>
      </c>
      <c r="AK195" s="6">
        <v>9.3000000000000007</v>
      </c>
      <c r="AL195" s="4">
        <v>840</v>
      </c>
      <c r="AM195" s="4">
        <v>7487</v>
      </c>
      <c r="AN195" s="4">
        <v>895</v>
      </c>
      <c r="AO195" s="6">
        <v>477734</v>
      </c>
      <c r="AP195" s="6">
        <v>25848</v>
      </c>
      <c r="AQ195" s="6">
        <v>30976</v>
      </c>
      <c r="AR195" s="6">
        <v>420910</v>
      </c>
      <c r="AS195" s="6">
        <v>88.8</v>
      </c>
      <c r="AT195" s="6">
        <v>80.8</v>
      </c>
      <c r="AU195" s="6">
        <v>33.799999999999997</v>
      </c>
      <c r="AV195" s="4">
        <v>107</v>
      </c>
      <c r="AW195" s="4">
        <v>123</v>
      </c>
    </row>
    <row r="196" spans="1:49" x14ac:dyDescent="0.2">
      <c r="A196" s="1">
        <v>44531</v>
      </c>
      <c r="B196">
        <f t="shared" si="26"/>
        <v>12.48</v>
      </c>
      <c r="C196" s="1" t="s">
        <v>57</v>
      </c>
      <c r="D196" s="1" t="s">
        <v>62</v>
      </c>
      <c r="E196" s="1" t="s">
        <v>69</v>
      </c>
      <c r="F196" s="1" t="s">
        <v>48</v>
      </c>
      <c r="G196">
        <v>3228</v>
      </c>
      <c r="H196" s="4">
        <v>73.81</v>
      </c>
      <c r="I196" s="4">
        <v>110</v>
      </c>
      <c r="J196" s="4">
        <v>64</v>
      </c>
      <c r="K196" s="8"/>
      <c r="L196" s="4">
        <v>98</v>
      </c>
      <c r="M196" s="4">
        <v>79</v>
      </c>
      <c r="N196" s="4">
        <v>97</v>
      </c>
      <c r="O196" s="4">
        <v>65</v>
      </c>
      <c r="P196" s="4">
        <v>65.571605524359398</v>
      </c>
      <c r="Q196" s="4">
        <v>77.187317088561002</v>
      </c>
      <c r="R196" s="8"/>
      <c r="S196" s="7" t="s">
        <v>34</v>
      </c>
      <c r="T196" s="4">
        <v>483765</v>
      </c>
      <c r="U196" s="4">
        <v>764016</v>
      </c>
      <c r="V196" s="4">
        <v>3857</v>
      </c>
      <c r="W196" s="4">
        <v>122400</v>
      </c>
      <c r="X196" s="4">
        <v>198886</v>
      </c>
      <c r="Y196" s="4">
        <v>565130</v>
      </c>
      <c r="Z196" s="4">
        <v>120000</v>
      </c>
      <c r="AA196" s="4">
        <v>2400</v>
      </c>
      <c r="AB196" s="4">
        <v>100545</v>
      </c>
      <c r="AC196" s="4">
        <v>1080274</v>
      </c>
      <c r="AD196" s="4">
        <v>1474</v>
      </c>
      <c r="AE196" s="4">
        <v>3689</v>
      </c>
      <c r="AF196" s="4">
        <v>1185982</v>
      </c>
      <c r="AG196" s="6">
        <v>54815</v>
      </c>
      <c r="AH196" s="6">
        <v>54010</v>
      </c>
      <c r="AI196" s="6">
        <v>805</v>
      </c>
      <c r="AJ196" s="6">
        <v>20613</v>
      </c>
      <c r="AK196" s="6">
        <v>6.7999999999999901</v>
      </c>
      <c r="AL196" s="4">
        <v>828</v>
      </c>
      <c r="AM196" s="4">
        <v>7416</v>
      </c>
      <c r="AN196" s="4">
        <v>895</v>
      </c>
      <c r="AO196" s="6">
        <v>466235</v>
      </c>
      <c r="AP196" s="6">
        <v>26028</v>
      </c>
      <c r="AQ196" s="6">
        <v>32356</v>
      </c>
      <c r="AR196" s="6">
        <v>407851</v>
      </c>
      <c r="AS196" s="6">
        <v>88.7</v>
      </c>
      <c r="AT196" s="6">
        <v>80.7</v>
      </c>
      <c r="AU196" s="6">
        <v>33.1</v>
      </c>
      <c r="AV196" s="4">
        <v>124</v>
      </c>
      <c r="AW196" s="4">
        <v>137</v>
      </c>
    </row>
    <row r="197" spans="1:49" x14ac:dyDescent="0.2">
      <c r="A197" s="1">
        <v>44530</v>
      </c>
      <c r="B197">
        <f t="shared" si="26"/>
        <v>12.48</v>
      </c>
      <c r="C197" s="1" t="s">
        <v>57</v>
      </c>
      <c r="D197" s="1" t="s">
        <v>62</v>
      </c>
      <c r="E197" s="1" t="s">
        <v>69</v>
      </c>
      <c r="F197" s="1" t="s">
        <v>48</v>
      </c>
      <c r="G197">
        <v>3198</v>
      </c>
      <c r="H197" s="4">
        <v>71.31</v>
      </c>
      <c r="I197" s="4">
        <v>110</v>
      </c>
      <c r="J197" s="4">
        <v>64</v>
      </c>
      <c r="K197" s="8"/>
      <c r="L197" s="4">
        <v>96</v>
      </c>
      <c r="M197" s="4">
        <v>79</v>
      </c>
      <c r="N197" s="4">
        <v>99</v>
      </c>
      <c r="O197" s="4">
        <v>64</v>
      </c>
      <c r="P197" s="4">
        <v>63.865127311789003</v>
      </c>
      <c r="Q197" s="4">
        <v>76.852115453147405</v>
      </c>
      <c r="R197" s="8"/>
      <c r="S197" s="7" t="s">
        <v>35</v>
      </c>
      <c r="T197" s="4">
        <v>469841</v>
      </c>
      <c r="U197" s="4">
        <v>763896</v>
      </c>
      <c r="V197" s="4">
        <v>2714</v>
      </c>
      <c r="W197" s="4">
        <v>122400</v>
      </c>
      <c r="X197" s="4">
        <v>198886</v>
      </c>
      <c r="Y197" s="4">
        <v>565010</v>
      </c>
      <c r="Z197" s="4">
        <v>120000</v>
      </c>
      <c r="AA197" s="4">
        <v>2400</v>
      </c>
      <c r="AB197" s="4">
        <v>108480</v>
      </c>
      <c r="AC197" s="4">
        <v>893231</v>
      </c>
      <c r="AD197" s="4">
        <v>1068</v>
      </c>
      <c r="AE197" s="4">
        <v>7811</v>
      </c>
      <c r="AF197" s="4">
        <v>1010590</v>
      </c>
      <c r="AG197" s="6">
        <v>55688</v>
      </c>
      <c r="AH197" s="6">
        <v>54890</v>
      </c>
      <c r="AI197" s="6">
        <v>798</v>
      </c>
      <c r="AJ197" s="6">
        <v>13435</v>
      </c>
      <c r="AK197" s="6">
        <v>4.5</v>
      </c>
      <c r="AL197" s="4">
        <v>841</v>
      </c>
      <c r="AM197" s="4">
        <v>7744</v>
      </c>
      <c r="AN197" s="4">
        <v>931</v>
      </c>
      <c r="AO197" s="6">
        <v>455285</v>
      </c>
      <c r="AP197" s="6">
        <v>30539</v>
      </c>
      <c r="AQ197" s="6">
        <v>32157</v>
      </c>
      <c r="AR197" s="6">
        <v>392589</v>
      </c>
      <c r="AS197" s="6">
        <v>88.7</v>
      </c>
      <c r="AT197" s="6">
        <v>80.7</v>
      </c>
      <c r="AU197" s="6">
        <v>32.4</v>
      </c>
      <c r="AV197" s="4">
        <v>96</v>
      </c>
      <c r="AW197" s="4">
        <v>121</v>
      </c>
    </row>
    <row r="198" spans="1:49" x14ac:dyDescent="0.2">
      <c r="A198" s="1">
        <v>44529</v>
      </c>
      <c r="B198">
        <f t="shared" si="26"/>
        <v>12.48</v>
      </c>
      <c r="C198" s="1" t="s">
        <v>57</v>
      </c>
      <c r="D198" s="1" t="s">
        <v>63</v>
      </c>
      <c r="E198" s="1" t="s">
        <v>69</v>
      </c>
      <c r="F198" s="1" t="s">
        <v>48</v>
      </c>
      <c r="G198">
        <v>3187</v>
      </c>
      <c r="H198" s="4">
        <v>69.91</v>
      </c>
      <c r="I198" s="4">
        <v>111</v>
      </c>
      <c r="J198" s="4">
        <v>62</v>
      </c>
      <c r="K198" s="8"/>
      <c r="L198" s="4">
        <v>100</v>
      </c>
      <c r="M198" s="4">
        <v>81</v>
      </c>
      <c r="N198" s="4">
        <v>99</v>
      </c>
      <c r="O198" s="4">
        <v>63</v>
      </c>
      <c r="P198" s="4">
        <v>61.714898446077299</v>
      </c>
      <c r="Q198" s="4">
        <v>75.569439707674107</v>
      </c>
      <c r="R198" s="8"/>
      <c r="S198" s="7" t="s">
        <v>35</v>
      </c>
      <c r="T198" s="4">
        <v>325744</v>
      </c>
      <c r="U198" s="4">
        <v>727303</v>
      </c>
      <c r="V198" s="4">
        <v>6098</v>
      </c>
      <c r="W198" s="4">
        <v>122400</v>
      </c>
      <c r="X198" s="4">
        <v>198886</v>
      </c>
      <c r="Y198" s="4">
        <v>525430</v>
      </c>
      <c r="Z198" s="4">
        <v>120000</v>
      </c>
      <c r="AA198" s="4">
        <v>5387</v>
      </c>
      <c r="AB198" s="4">
        <v>100380</v>
      </c>
      <c r="AC198" s="4">
        <v>918804</v>
      </c>
      <c r="AD198" s="4">
        <v>822</v>
      </c>
      <c r="AE198" s="4">
        <v>20776</v>
      </c>
      <c r="AF198" s="4">
        <v>1040782</v>
      </c>
      <c r="AG198" s="6">
        <v>56289</v>
      </c>
      <c r="AH198" s="6">
        <v>55432</v>
      </c>
      <c r="AI198" s="6">
        <v>857</v>
      </c>
      <c r="AJ198" s="6">
        <v>7703</v>
      </c>
      <c r="AK198" s="6">
        <v>2.6</v>
      </c>
      <c r="AL198" s="4">
        <v>808</v>
      </c>
      <c r="AM198" s="4">
        <v>7733</v>
      </c>
      <c r="AN198" s="4">
        <v>916</v>
      </c>
      <c r="AO198" s="6">
        <v>367154</v>
      </c>
      <c r="AP198" s="6">
        <v>22391</v>
      </c>
      <c r="AQ198" s="6">
        <v>26092</v>
      </c>
      <c r="AR198" s="6">
        <v>318671</v>
      </c>
      <c r="AS198" s="6">
        <v>88.6</v>
      </c>
      <c r="AT198" s="6">
        <v>80.599999999999994</v>
      </c>
      <c r="AU198" s="6">
        <v>31.7</v>
      </c>
      <c r="AV198" s="4">
        <v>123</v>
      </c>
      <c r="AW198" s="4">
        <v>144</v>
      </c>
    </row>
    <row r="199" spans="1:49" x14ac:dyDescent="0.2">
      <c r="A199" s="1">
        <v>44528</v>
      </c>
      <c r="B199">
        <v>10.59</v>
      </c>
      <c r="C199" s="1" t="s">
        <v>57</v>
      </c>
      <c r="D199" s="1" t="s">
        <v>63</v>
      </c>
      <c r="E199" s="1" t="s">
        <v>69</v>
      </c>
      <c r="F199" s="1" t="s">
        <v>48</v>
      </c>
      <c r="G199">
        <v>3193</v>
      </c>
      <c r="H199" s="4">
        <v>88.15</v>
      </c>
      <c r="I199" s="4">
        <v>102</v>
      </c>
      <c r="J199" s="4">
        <v>89</v>
      </c>
      <c r="K199" s="8"/>
      <c r="L199" s="4">
        <v>98</v>
      </c>
      <c r="M199" s="4">
        <v>86</v>
      </c>
      <c r="N199" s="4">
        <v>93</v>
      </c>
      <c r="O199" s="4">
        <v>77</v>
      </c>
      <c r="P199" s="4">
        <v>94.0399608736396</v>
      </c>
      <c r="Q199" s="4">
        <v>86.547371297899801</v>
      </c>
      <c r="R199" s="8"/>
      <c r="S199" s="7" t="s">
        <v>35</v>
      </c>
      <c r="T199" s="4">
        <v>373129</v>
      </c>
      <c r="U199" s="4">
        <v>716985</v>
      </c>
      <c r="V199" s="4">
        <v>258</v>
      </c>
      <c r="W199" s="4">
        <v>122400</v>
      </c>
      <c r="X199" s="4">
        <v>198886</v>
      </c>
      <c r="Y199" s="4">
        <v>514910</v>
      </c>
      <c r="Z199" s="4">
        <v>120000</v>
      </c>
      <c r="AA199" s="4">
        <v>5589</v>
      </c>
      <c r="AB199" s="4">
        <v>74288</v>
      </c>
      <c r="AC199" s="4">
        <v>917440</v>
      </c>
      <c r="AD199" s="4">
        <v>258</v>
      </c>
      <c r="AE199" s="4">
        <v>25764</v>
      </c>
      <c r="AF199" s="4">
        <v>1017750</v>
      </c>
      <c r="AG199" s="6">
        <v>39692</v>
      </c>
      <c r="AH199" s="6">
        <v>39180</v>
      </c>
      <c r="AI199" s="6">
        <v>512</v>
      </c>
      <c r="AJ199" s="6">
        <v>1918</v>
      </c>
      <c r="AK199" s="6">
        <v>0.59999999999999898</v>
      </c>
      <c r="AL199" s="4">
        <v>715</v>
      </c>
      <c r="AM199" s="4">
        <v>7502</v>
      </c>
      <c r="AN199" s="4">
        <v>919</v>
      </c>
      <c r="AO199" s="6">
        <v>336273</v>
      </c>
      <c r="AP199" s="6">
        <v>21493</v>
      </c>
      <c r="AQ199" s="6">
        <v>29445</v>
      </c>
      <c r="AR199" s="6">
        <v>285335</v>
      </c>
      <c r="AS199" s="6">
        <v>88.6</v>
      </c>
      <c r="AT199" s="6">
        <v>80.599999999999994</v>
      </c>
      <c r="AU199" s="6">
        <v>31.1</v>
      </c>
      <c r="AV199" s="4">
        <v>120</v>
      </c>
      <c r="AW199" s="4">
        <v>142</v>
      </c>
    </row>
    <row r="200" spans="1:49" x14ac:dyDescent="0.2">
      <c r="A200" s="1">
        <v>44527</v>
      </c>
      <c r="B200">
        <f>B199</f>
        <v>10.59</v>
      </c>
      <c r="C200" s="1" t="s">
        <v>57</v>
      </c>
      <c r="D200" s="1" t="s">
        <v>63</v>
      </c>
      <c r="E200" s="1" t="s">
        <v>69</v>
      </c>
      <c r="F200" s="1" t="s">
        <v>48</v>
      </c>
      <c r="G200">
        <v>3197</v>
      </c>
      <c r="H200" s="4">
        <v>86.61</v>
      </c>
      <c r="I200" s="4">
        <v>104</v>
      </c>
      <c r="J200" s="4">
        <v>87</v>
      </c>
      <c r="K200" s="8"/>
      <c r="L200" s="4">
        <v>70</v>
      </c>
      <c r="M200" s="4">
        <v>79</v>
      </c>
      <c r="N200" s="4">
        <v>91</v>
      </c>
      <c r="O200" s="4">
        <v>75</v>
      </c>
      <c r="P200" s="4">
        <v>81.507131371806906</v>
      </c>
      <c r="Q200" s="4">
        <v>78.947532840869997</v>
      </c>
      <c r="R200" s="8"/>
      <c r="S200" s="7" t="s">
        <v>35</v>
      </c>
      <c r="T200" s="4">
        <v>384321</v>
      </c>
      <c r="U200" s="4">
        <v>721387</v>
      </c>
      <c r="V200" s="4">
        <v>418</v>
      </c>
      <c r="W200" s="4">
        <v>122400</v>
      </c>
      <c r="X200" s="4">
        <v>198886</v>
      </c>
      <c r="Y200" s="4">
        <v>515050</v>
      </c>
      <c r="Z200" s="4">
        <v>120000</v>
      </c>
      <c r="AA200" s="4">
        <v>9851</v>
      </c>
      <c r="AB200" s="4">
        <v>63471</v>
      </c>
      <c r="AC200" s="4">
        <v>638557</v>
      </c>
      <c r="AD200" s="4">
        <v>418</v>
      </c>
      <c r="AE200" s="4">
        <v>17667</v>
      </c>
      <c r="AF200" s="4">
        <v>720113</v>
      </c>
      <c r="AG200" s="6">
        <v>33293</v>
      </c>
      <c r="AH200" s="6">
        <v>32871</v>
      </c>
      <c r="AI200" s="6">
        <v>422</v>
      </c>
      <c r="AJ200" s="6">
        <v>1203</v>
      </c>
      <c r="AK200" s="6">
        <v>0.4</v>
      </c>
      <c r="AL200" s="4">
        <v>717</v>
      </c>
      <c r="AM200" s="4">
        <v>7471</v>
      </c>
      <c r="AN200" s="4">
        <v>911</v>
      </c>
      <c r="AO200" s="6">
        <v>521785</v>
      </c>
      <c r="AP200" s="6">
        <v>23808</v>
      </c>
      <c r="AQ200" s="6">
        <v>32866</v>
      </c>
      <c r="AR200" s="6">
        <v>465111</v>
      </c>
      <c r="AS200" s="6">
        <v>88.5</v>
      </c>
      <c r="AT200" s="6">
        <v>80.5</v>
      </c>
      <c r="AU200" s="6">
        <v>30.6</v>
      </c>
      <c r="AV200" s="4">
        <v>107</v>
      </c>
      <c r="AW200" s="4">
        <v>124</v>
      </c>
    </row>
    <row r="201" spans="1:49" x14ac:dyDescent="0.2">
      <c r="A201" s="1">
        <v>44526</v>
      </c>
      <c r="B201">
        <f t="shared" ref="B201:B205" si="27">B200</f>
        <v>10.59</v>
      </c>
      <c r="C201" s="1" t="s">
        <v>57</v>
      </c>
      <c r="D201" s="1" t="s">
        <v>63</v>
      </c>
      <c r="E201" s="1" t="s">
        <v>69</v>
      </c>
      <c r="F201" s="1" t="s">
        <v>48</v>
      </c>
      <c r="G201">
        <v>3207</v>
      </c>
      <c r="H201" s="4">
        <v>80.72</v>
      </c>
      <c r="I201" s="4">
        <v>110</v>
      </c>
      <c r="J201" s="4">
        <v>62</v>
      </c>
      <c r="K201" s="8"/>
      <c r="L201" s="4">
        <v>90</v>
      </c>
      <c r="M201" s="4">
        <v>79</v>
      </c>
      <c r="N201" s="4">
        <v>98</v>
      </c>
      <c r="O201" s="4">
        <v>68</v>
      </c>
      <c r="P201" s="4">
        <v>49.353063016459899</v>
      </c>
      <c r="Q201" s="4">
        <v>83.089715720895896</v>
      </c>
      <c r="R201" s="8"/>
      <c r="S201" s="7" t="s">
        <v>35</v>
      </c>
      <c r="T201" s="4">
        <v>432070</v>
      </c>
      <c r="U201" s="4">
        <v>719575</v>
      </c>
      <c r="V201" s="4">
        <v>2891</v>
      </c>
      <c r="W201" s="4">
        <v>122400</v>
      </c>
      <c r="X201" s="4">
        <v>198886</v>
      </c>
      <c r="Y201" s="4">
        <v>515010</v>
      </c>
      <c r="Z201" s="4">
        <v>120000</v>
      </c>
      <c r="AA201" s="4">
        <v>8079</v>
      </c>
      <c r="AB201" s="4">
        <v>89240</v>
      </c>
      <c r="AC201" s="4">
        <v>776192</v>
      </c>
      <c r="AD201" s="4">
        <v>995</v>
      </c>
      <c r="AE201" s="4">
        <v>19687</v>
      </c>
      <c r="AF201" s="4">
        <v>886114</v>
      </c>
      <c r="AG201" s="6">
        <v>39327</v>
      </c>
      <c r="AH201" s="6">
        <v>38800</v>
      </c>
      <c r="AI201" s="6">
        <v>527</v>
      </c>
      <c r="AJ201" s="6">
        <v>5689</v>
      </c>
      <c r="AK201" s="6">
        <v>1.8999999999999899</v>
      </c>
      <c r="AL201" s="4">
        <v>734</v>
      </c>
      <c r="AM201" s="4">
        <v>7626</v>
      </c>
      <c r="AN201" s="4">
        <v>925</v>
      </c>
      <c r="AO201" s="6">
        <v>410741</v>
      </c>
      <c r="AP201" s="6">
        <v>20314</v>
      </c>
      <c r="AQ201" s="6">
        <v>23665</v>
      </c>
      <c r="AR201" s="6">
        <v>366762</v>
      </c>
      <c r="AS201" s="6">
        <v>88.5</v>
      </c>
      <c r="AT201" s="6">
        <v>80.5</v>
      </c>
      <c r="AU201" s="6">
        <v>29.8</v>
      </c>
      <c r="AV201" s="4">
        <v>132</v>
      </c>
      <c r="AW201" s="4">
        <v>132</v>
      </c>
    </row>
    <row r="202" spans="1:49" x14ac:dyDescent="0.2">
      <c r="A202" s="1">
        <v>44525</v>
      </c>
      <c r="B202">
        <f t="shared" si="27"/>
        <v>10.59</v>
      </c>
      <c r="C202" s="1" t="s">
        <v>57</v>
      </c>
      <c r="D202" s="1" t="s">
        <v>63</v>
      </c>
      <c r="E202" s="1" t="s">
        <v>69</v>
      </c>
      <c r="F202" s="1" t="s">
        <v>48</v>
      </c>
      <c r="G202">
        <v>3195</v>
      </c>
      <c r="H202" s="4">
        <v>82.71</v>
      </c>
      <c r="I202" s="4">
        <v>109</v>
      </c>
      <c r="J202" s="4">
        <v>65</v>
      </c>
      <c r="K202" s="8"/>
      <c r="L202" s="4">
        <v>103</v>
      </c>
      <c r="M202" s="4">
        <v>82</v>
      </c>
      <c r="N202" s="4">
        <v>99</v>
      </c>
      <c r="O202" s="4">
        <v>67</v>
      </c>
      <c r="P202" s="4">
        <v>69.697958698366094</v>
      </c>
      <c r="Q202" s="4">
        <v>78.767371797968806</v>
      </c>
      <c r="R202" s="8"/>
      <c r="S202" s="7" t="s">
        <v>35</v>
      </c>
      <c r="T202" s="4">
        <v>497453</v>
      </c>
      <c r="U202" s="4">
        <v>716475</v>
      </c>
      <c r="V202" s="4">
        <v>3426</v>
      </c>
      <c r="W202" s="4">
        <v>122400</v>
      </c>
      <c r="X202" s="4">
        <v>198883</v>
      </c>
      <c r="Y202" s="4">
        <v>514950</v>
      </c>
      <c r="Z202" s="4">
        <v>120000</v>
      </c>
      <c r="AA202" s="4">
        <v>5042</v>
      </c>
      <c r="AB202" s="4">
        <v>92610</v>
      </c>
      <c r="AC202" s="4">
        <v>938215</v>
      </c>
      <c r="AD202" s="4">
        <v>1253</v>
      </c>
      <c r="AE202" s="4">
        <v>18437</v>
      </c>
      <c r="AF202" s="4">
        <v>1050515</v>
      </c>
      <c r="AG202" s="6">
        <v>43415</v>
      </c>
      <c r="AH202" s="6">
        <v>42794</v>
      </c>
      <c r="AI202" s="6">
        <v>621</v>
      </c>
      <c r="AJ202" s="6">
        <v>7801</v>
      </c>
      <c r="AK202" s="6">
        <v>2.7</v>
      </c>
      <c r="AL202" s="4">
        <v>776</v>
      </c>
      <c r="AM202" s="4">
        <v>7725</v>
      </c>
      <c r="AN202" s="4">
        <v>925</v>
      </c>
      <c r="AO202" s="6">
        <v>442483</v>
      </c>
      <c r="AP202" s="6">
        <v>23579</v>
      </c>
      <c r="AQ202" s="6">
        <v>22823</v>
      </c>
      <c r="AR202" s="6">
        <v>396081</v>
      </c>
      <c r="AS202" s="6">
        <v>88.5</v>
      </c>
      <c r="AT202" s="6">
        <v>80.400000000000006</v>
      </c>
      <c r="AU202" s="6">
        <v>29.2</v>
      </c>
      <c r="AV202" s="4">
        <v>137</v>
      </c>
      <c r="AW202" s="4">
        <v>141</v>
      </c>
    </row>
    <row r="203" spans="1:49" x14ac:dyDescent="0.2">
      <c r="A203" s="1">
        <v>44524</v>
      </c>
      <c r="B203">
        <f t="shared" si="27"/>
        <v>10.59</v>
      </c>
      <c r="C203" s="1" t="s">
        <v>57</v>
      </c>
      <c r="D203" s="1" t="s">
        <v>63</v>
      </c>
      <c r="E203" s="1" t="s">
        <v>69</v>
      </c>
      <c r="F203" s="1" t="s">
        <v>48</v>
      </c>
      <c r="G203">
        <v>3204</v>
      </c>
      <c r="H203" s="4">
        <v>82.05</v>
      </c>
      <c r="I203" s="4">
        <v>110</v>
      </c>
      <c r="J203" s="4">
        <v>65</v>
      </c>
      <c r="K203" s="8"/>
      <c r="L203" s="4">
        <v>97</v>
      </c>
      <c r="M203" s="4">
        <v>78</v>
      </c>
      <c r="N203" s="4">
        <v>96</v>
      </c>
      <c r="O203" s="4">
        <v>65</v>
      </c>
      <c r="P203" s="4">
        <v>66.2941684109786</v>
      </c>
      <c r="Q203" s="4">
        <v>76.8989242016021</v>
      </c>
      <c r="R203" s="8"/>
      <c r="S203" s="7" t="s">
        <v>35</v>
      </c>
      <c r="T203" s="4">
        <v>454118</v>
      </c>
      <c r="U203" s="4">
        <v>713793</v>
      </c>
      <c r="V203" s="4">
        <v>2754</v>
      </c>
      <c r="W203" s="4">
        <v>122400</v>
      </c>
      <c r="X203" s="4">
        <v>198883</v>
      </c>
      <c r="Y203" s="4">
        <v>514910</v>
      </c>
      <c r="Z203" s="4">
        <v>120000</v>
      </c>
      <c r="AA203" s="4">
        <v>2400</v>
      </c>
      <c r="AB203" s="4">
        <v>95444</v>
      </c>
      <c r="AC203" s="4">
        <v>972144</v>
      </c>
      <c r="AD203" s="4">
        <v>1283</v>
      </c>
      <c r="AE203" s="4">
        <v>9033</v>
      </c>
      <c r="AF203" s="4">
        <v>1077904</v>
      </c>
      <c r="AG203" s="6">
        <v>46763</v>
      </c>
      <c r="AH203" s="6">
        <v>46093</v>
      </c>
      <c r="AI203" s="6">
        <v>670</v>
      </c>
      <c r="AJ203" s="6">
        <v>11509</v>
      </c>
      <c r="AK203" s="6">
        <v>4</v>
      </c>
      <c r="AL203" s="4">
        <v>909</v>
      </c>
      <c r="AM203" s="4">
        <v>7734</v>
      </c>
      <c r="AN203" s="4">
        <v>928</v>
      </c>
      <c r="AO203" s="6">
        <v>426964</v>
      </c>
      <c r="AP203" s="6">
        <v>24579</v>
      </c>
      <c r="AQ203" s="6">
        <v>23439</v>
      </c>
      <c r="AR203" s="6">
        <v>378946</v>
      </c>
      <c r="AS203" s="6">
        <v>88.4</v>
      </c>
      <c r="AT203" s="6">
        <v>80.400000000000006</v>
      </c>
      <c r="AU203" s="6">
        <v>28.5</v>
      </c>
      <c r="AV203" s="4">
        <v>116</v>
      </c>
      <c r="AW203" s="4">
        <v>123</v>
      </c>
    </row>
    <row r="204" spans="1:49" x14ac:dyDescent="0.2">
      <c r="A204" s="1">
        <v>44523</v>
      </c>
      <c r="B204">
        <f t="shared" si="27"/>
        <v>10.59</v>
      </c>
      <c r="C204" s="1" t="s">
        <v>57</v>
      </c>
      <c r="D204" s="1" t="s">
        <v>63</v>
      </c>
      <c r="E204" s="1" t="s">
        <v>69</v>
      </c>
      <c r="F204" s="1" t="s">
        <v>48</v>
      </c>
      <c r="G204">
        <v>3233</v>
      </c>
      <c r="H204" s="4">
        <v>81.23</v>
      </c>
      <c r="I204" s="4">
        <v>110</v>
      </c>
      <c r="J204" s="4">
        <v>64</v>
      </c>
      <c r="K204" s="8"/>
      <c r="L204" s="4">
        <v>102</v>
      </c>
      <c r="M204" s="4">
        <v>79</v>
      </c>
      <c r="N204" s="4">
        <v>97</v>
      </c>
      <c r="O204" s="4">
        <v>65</v>
      </c>
      <c r="P204" s="4">
        <v>65.6372476442194</v>
      </c>
      <c r="Q204" s="4">
        <v>77.347807028619201</v>
      </c>
      <c r="R204" s="8"/>
      <c r="S204" s="7" t="s">
        <v>35</v>
      </c>
      <c r="T204" s="4">
        <v>448454</v>
      </c>
      <c r="U204" s="4">
        <v>711633</v>
      </c>
      <c r="V204" s="4">
        <v>2688</v>
      </c>
      <c r="W204" s="4">
        <v>122400</v>
      </c>
      <c r="X204" s="4">
        <v>198883</v>
      </c>
      <c r="Y204" s="4">
        <v>512750</v>
      </c>
      <c r="Z204" s="4">
        <v>120000</v>
      </c>
      <c r="AA204" s="4">
        <v>2400</v>
      </c>
      <c r="AB204" s="4">
        <v>109441</v>
      </c>
      <c r="AC204" s="4">
        <v>790648</v>
      </c>
      <c r="AD204" s="4">
        <v>1121</v>
      </c>
      <c r="AE204" s="4">
        <v>12238</v>
      </c>
      <c r="AF204" s="4">
        <v>913448</v>
      </c>
      <c r="AG204" s="6">
        <v>48190</v>
      </c>
      <c r="AH204" s="6">
        <v>47547</v>
      </c>
      <c r="AI204" s="6">
        <v>643</v>
      </c>
      <c r="AJ204" s="6">
        <v>13586</v>
      </c>
      <c r="AK204" s="6">
        <v>4.7</v>
      </c>
      <c r="AL204" s="4">
        <v>786</v>
      </c>
      <c r="AM204" s="4">
        <v>7981</v>
      </c>
      <c r="AN204" s="4">
        <v>919</v>
      </c>
      <c r="AO204" s="6">
        <v>413976</v>
      </c>
      <c r="AP204" s="6">
        <v>26822</v>
      </c>
      <c r="AQ204" s="6">
        <v>22002</v>
      </c>
      <c r="AR204" s="6">
        <v>365152</v>
      </c>
      <c r="AS204" s="6">
        <v>88.4</v>
      </c>
      <c r="AT204" s="6">
        <v>80.400000000000006</v>
      </c>
      <c r="AU204" s="6">
        <v>27.8</v>
      </c>
      <c r="AV204" s="4">
        <v>143</v>
      </c>
      <c r="AW204" s="4">
        <v>149</v>
      </c>
    </row>
    <row r="205" spans="1:49" x14ac:dyDescent="0.2">
      <c r="A205" s="1">
        <v>44522</v>
      </c>
      <c r="B205">
        <f t="shared" si="27"/>
        <v>10.59</v>
      </c>
      <c r="C205" s="1" t="s">
        <v>57</v>
      </c>
      <c r="D205" s="1" t="s">
        <v>63</v>
      </c>
      <c r="E205" s="1" t="s">
        <v>69</v>
      </c>
      <c r="F205" s="1" t="s">
        <v>48</v>
      </c>
      <c r="G205">
        <v>3264</v>
      </c>
      <c r="H205" s="4">
        <v>74.05</v>
      </c>
      <c r="I205" s="4">
        <v>110</v>
      </c>
      <c r="J205" s="4">
        <v>62</v>
      </c>
      <c r="K205" s="8"/>
      <c r="L205" s="4">
        <v>111</v>
      </c>
      <c r="M205" s="4">
        <v>80</v>
      </c>
      <c r="N205" s="4">
        <v>99</v>
      </c>
      <c r="O205" s="4">
        <v>64</v>
      </c>
      <c r="P205" s="4">
        <v>61.125497768559903</v>
      </c>
      <c r="Q205" s="4">
        <v>76.522437949780297</v>
      </c>
      <c r="R205" s="8"/>
      <c r="S205" s="7" t="s">
        <v>35</v>
      </c>
      <c r="T205" s="4">
        <v>360453</v>
      </c>
      <c r="U205" s="4">
        <v>661213</v>
      </c>
      <c r="V205" s="4">
        <v>2051</v>
      </c>
      <c r="W205" s="4">
        <v>122400</v>
      </c>
      <c r="X205" s="4">
        <v>198883</v>
      </c>
      <c r="Y205" s="4">
        <v>462330</v>
      </c>
      <c r="Z205" s="4">
        <v>120000</v>
      </c>
      <c r="AA205" s="4">
        <v>2400</v>
      </c>
      <c r="AB205" s="4">
        <v>100250</v>
      </c>
      <c r="AC205" s="4">
        <v>888106</v>
      </c>
      <c r="AD205" s="4">
        <v>1010</v>
      </c>
      <c r="AE205" s="4">
        <v>12136</v>
      </c>
      <c r="AF205" s="4">
        <v>1001502</v>
      </c>
      <c r="AG205" s="6">
        <v>50725</v>
      </c>
      <c r="AH205" s="6">
        <v>50058</v>
      </c>
      <c r="AI205" s="6">
        <v>667</v>
      </c>
      <c r="AJ205" s="6">
        <v>16001</v>
      </c>
      <c r="AK205" s="6">
        <v>5.5999999999999899</v>
      </c>
      <c r="AL205" s="4">
        <v>743</v>
      </c>
      <c r="AM205" s="4">
        <v>8195</v>
      </c>
      <c r="AN205" s="4">
        <v>928</v>
      </c>
      <c r="AO205" s="6">
        <v>349941</v>
      </c>
      <c r="AP205" s="6">
        <v>23258</v>
      </c>
      <c r="AQ205" s="6">
        <v>18517</v>
      </c>
      <c r="AR205" s="6">
        <v>308166</v>
      </c>
      <c r="AS205" s="6">
        <v>88.3</v>
      </c>
      <c r="AT205" s="6">
        <v>80.3</v>
      </c>
      <c r="AU205" s="6">
        <v>27.2</v>
      </c>
      <c r="AV205" s="4">
        <v>120</v>
      </c>
      <c r="AW205" s="4">
        <v>129</v>
      </c>
    </row>
    <row r="206" spans="1:49" x14ac:dyDescent="0.2">
      <c r="A206" s="1">
        <v>44521</v>
      </c>
      <c r="B206">
        <v>15.7</v>
      </c>
      <c r="C206" s="1" t="s">
        <v>57</v>
      </c>
      <c r="D206" s="1" t="s">
        <v>63</v>
      </c>
      <c r="E206" s="1" t="s">
        <v>69</v>
      </c>
      <c r="F206" s="1" t="s">
        <v>48</v>
      </c>
      <c r="G206">
        <v>3250</v>
      </c>
      <c r="H206" s="4">
        <v>91.03</v>
      </c>
      <c r="I206" s="4">
        <v>102</v>
      </c>
      <c r="J206" s="4">
        <v>88</v>
      </c>
      <c r="K206" s="8"/>
      <c r="L206" s="4">
        <v>102</v>
      </c>
      <c r="M206" s="4">
        <v>85</v>
      </c>
      <c r="N206" s="4">
        <v>92</v>
      </c>
      <c r="O206" s="4">
        <v>79</v>
      </c>
      <c r="P206" s="4">
        <v>92.300835197307705</v>
      </c>
      <c r="Q206" s="4">
        <v>87.713304112516596</v>
      </c>
      <c r="R206" s="8"/>
      <c r="S206" s="7" t="s">
        <v>35</v>
      </c>
      <c r="T206" s="4">
        <v>420083</v>
      </c>
      <c r="U206" s="4">
        <v>656133</v>
      </c>
      <c r="V206" s="4">
        <v>381</v>
      </c>
      <c r="W206" s="4">
        <v>122400</v>
      </c>
      <c r="X206" s="4">
        <v>198883</v>
      </c>
      <c r="Y206" s="4">
        <v>457250</v>
      </c>
      <c r="Z206" s="4">
        <v>120000</v>
      </c>
      <c r="AA206" s="4">
        <v>2400</v>
      </c>
      <c r="AB206" s="4">
        <v>74056</v>
      </c>
      <c r="AC206" s="4">
        <v>910012</v>
      </c>
      <c r="AD206" s="4">
        <v>381</v>
      </c>
      <c r="AE206" s="4">
        <v>26194</v>
      </c>
      <c r="AF206" s="4">
        <v>1010643</v>
      </c>
      <c r="AG206" s="6">
        <v>37245</v>
      </c>
      <c r="AH206" s="6">
        <v>36787</v>
      </c>
      <c r="AI206" s="6">
        <v>458</v>
      </c>
      <c r="AJ206" s="6">
        <v>23043</v>
      </c>
      <c r="AK206" s="6">
        <v>8.3000000000000007</v>
      </c>
      <c r="AL206" s="4">
        <v>757</v>
      </c>
      <c r="AM206" s="4">
        <v>8099</v>
      </c>
      <c r="AN206" s="4">
        <v>913</v>
      </c>
      <c r="AO206" s="6">
        <v>268311</v>
      </c>
      <c r="AP206" s="6">
        <v>16424</v>
      </c>
      <c r="AQ206" s="6">
        <v>13892</v>
      </c>
      <c r="AR206" s="6">
        <v>237995</v>
      </c>
      <c r="AS206" s="6">
        <v>88.3</v>
      </c>
      <c r="AT206" s="6">
        <v>80.3</v>
      </c>
      <c r="AU206" s="6">
        <v>26.7</v>
      </c>
      <c r="AV206" s="4">
        <v>106</v>
      </c>
      <c r="AW206" s="4">
        <v>120</v>
      </c>
    </row>
    <row r="207" spans="1:49" x14ac:dyDescent="0.2">
      <c r="A207" s="1">
        <v>44520</v>
      </c>
      <c r="B207">
        <f>B206</f>
        <v>15.7</v>
      </c>
      <c r="C207" s="1" t="s">
        <v>57</v>
      </c>
      <c r="D207" s="1" t="s">
        <v>63</v>
      </c>
      <c r="E207" s="1" t="s">
        <v>69</v>
      </c>
      <c r="F207" s="1" t="s">
        <v>48</v>
      </c>
      <c r="G207">
        <v>3253</v>
      </c>
      <c r="H207" s="4">
        <v>93.35</v>
      </c>
      <c r="I207" s="4">
        <v>102</v>
      </c>
      <c r="J207" s="4">
        <v>88</v>
      </c>
      <c r="K207" s="8"/>
      <c r="L207" s="4">
        <v>92</v>
      </c>
      <c r="M207" s="4">
        <v>82</v>
      </c>
      <c r="N207" s="4">
        <v>94</v>
      </c>
      <c r="O207" s="4">
        <v>80</v>
      </c>
      <c r="P207" s="4">
        <v>83.724800918286803</v>
      </c>
      <c r="Q207" s="4">
        <v>81.642504621749694</v>
      </c>
      <c r="R207" s="8"/>
      <c r="S207" s="7" t="s">
        <v>35</v>
      </c>
      <c r="T207" s="4">
        <v>384148</v>
      </c>
      <c r="U207" s="4">
        <v>650473</v>
      </c>
      <c r="V207" s="4">
        <v>4374</v>
      </c>
      <c r="W207" s="4">
        <v>122400</v>
      </c>
      <c r="X207" s="4">
        <v>198883</v>
      </c>
      <c r="Y207" s="4">
        <v>451590</v>
      </c>
      <c r="Z207" s="4">
        <v>120000</v>
      </c>
      <c r="AA207" s="4">
        <v>2400</v>
      </c>
      <c r="AB207" s="4">
        <v>69317</v>
      </c>
      <c r="AC207" s="4">
        <v>629417</v>
      </c>
      <c r="AD207" s="4">
        <v>547</v>
      </c>
      <c r="AE207" s="4">
        <v>13077</v>
      </c>
      <c r="AF207" s="4">
        <v>712358</v>
      </c>
      <c r="AG207" s="6">
        <v>35331</v>
      </c>
      <c r="AH207" s="6">
        <v>34887</v>
      </c>
      <c r="AI207" s="6">
        <v>444</v>
      </c>
      <c r="AJ207" s="6">
        <v>26239</v>
      </c>
      <c r="AK207" s="6">
        <v>9.6999999999999904</v>
      </c>
      <c r="AL207" s="4">
        <v>735</v>
      </c>
      <c r="AM207" s="4">
        <v>8004</v>
      </c>
      <c r="AN207" s="4">
        <v>908</v>
      </c>
      <c r="AO207" s="6">
        <v>513270</v>
      </c>
      <c r="AP207" s="6">
        <v>26013</v>
      </c>
      <c r="AQ207" s="6">
        <v>24193</v>
      </c>
      <c r="AR207" s="6">
        <v>463064</v>
      </c>
      <c r="AS207" s="6">
        <v>88.3</v>
      </c>
      <c r="AT207" s="6">
        <v>80.3</v>
      </c>
      <c r="AU207" s="6">
        <v>26.2</v>
      </c>
      <c r="AV207" s="4">
        <v>130</v>
      </c>
      <c r="AW207" s="4">
        <v>143</v>
      </c>
    </row>
    <row r="208" spans="1:49" x14ac:dyDescent="0.2">
      <c r="A208" s="1">
        <v>44519</v>
      </c>
      <c r="B208">
        <f t="shared" ref="B208:B212" si="28">B207</f>
        <v>15.7</v>
      </c>
      <c r="C208" s="1" t="s">
        <v>57</v>
      </c>
      <c r="D208" s="1" t="s">
        <v>63</v>
      </c>
      <c r="E208" s="1" t="s">
        <v>69</v>
      </c>
      <c r="F208" s="1" t="s">
        <v>48</v>
      </c>
      <c r="G208">
        <v>3262</v>
      </c>
      <c r="H208" s="4">
        <v>85.32</v>
      </c>
      <c r="I208" s="4">
        <v>109</v>
      </c>
      <c r="J208" s="4">
        <v>64</v>
      </c>
      <c r="K208" s="8"/>
      <c r="L208" s="4">
        <v>99</v>
      </c>
      <c r="M208" s="4">
        <v>79</v>
      </c>
      <c r="N208" s="4">
        <v>99</v>
      </c>
      <c r="O208" s="4">
        <v>68</v>
      </c>
      <c r="P208" s="4">
        <v>66.233786709674504</v>
      </c>
      <c r="Q208" s="4">
        <v>78.214398644185295</v>
      </c>
      <c r="R208" s="8"/>
      <c r="S208" s="7" t="s">
        <v>35</v>
      </c>
      <c r="T208" s="4">
        <v>429865</v>
      </c>
      <c r="U208" s="4">
        <v>684143</v>
      </c>
      <c r="V208" s="4">
        <v>3623</v>
      </c>
      <c r="W208" s="4">
        <v>122400</v>
      </c>
      <c r="X208" s="4">
        <v>198883</v>
      </c>
      <c r="Y208" s="4">
        <v>485260</v>
      </c>
      <c r="Z208" s="4">
        <v>120000</v>
      </c>
      <c r="AA208" s="4">
        <v>2400</v>
      </c>
      <c r="AB208" s="4">
        <v>92493</v>
      </c>
      <c r="AC208" s="4">
        <v>757777</v>
      </c>
      <c r="AD208" s="4">
        <v>1140</v>
      </c>
      <c r="AE208" s="4">
        <v>16265</v>
      </c>
      <c r="AF208" s="4">
        <v>867675</v>
      </c>
      <c r="AG208" s="6">
        <v>39596</v>
      </c>
      <c r="AH208" s="6">
        <v>39123</v>
      </c>
      <c r="AI208" s="6">
        <v>473</v>
      </c>
      <c r="AJ208" s="6">
        <v>29239</v>
      </c>
      <c r="AK208" s="6">
        <v>11</v>
      </c>
      <c r="AL208" s="4">
        <v>775</v>
      </c>
      <c r="AM208" s="4">
        <v>8124</v>
      </c>
      <c r="AN208" s="4">
        <v>911</v>
      </c>
      <c r="AO208" s="6">
        <v>412575</v>
      </c>
      <c r="AP208" s="6">
        <v>27084</v>
      </c>
      <c r="AQ208" s="6">
        <v>21607</v>
      </c>
      <c r="AR208" s="6">
        <v>363884</v>
      </c>
      <c r="AS208" s="6">
        <v>88.2</v>
      </c>
      <c r="AT208" s="6">
        <v>80.2</v>
      </c>
      <c r="AU208" s="6">
        <v>25.4</v>
      </c>
      <c r="AV208" s="4">
        <v>124</v>
      </c>
      <c r="AW208" s="4">
        <v>139</v>
      </c>
    </row>
    <row r="209" spans="1:49" x14ac:dyDescent="0.2">
      <c r="A209" s="1">
        <v>44518</v>
      </c>
      <c r="B209">
        <f t="shared" si="28"/>
        <v>15.7</v>
      </c>
      <c r="C209" s="1" t="s">
        <v>57</v>
      </c>
      <c r="D209" s="1" t="s">
        <v>63</v>
      </c>
      <c r="E209" s="1" t="s">
        <v>69</v>
      </c>
      <c r="F209" s="1" t="s">
        <v>48</v>
      </c>
      <c r="G209">
        <v>3268</v>
      </c>
      <c r="H209" s="4">
        <v>84.91</v>
      </c>
      <c r="I209" s="4">
        <v>109</v>
      </c>
      <c r="J209" s="4">
        <v>66</v>
      </c>
      <c r="K209" s="8"/>
      <c r="L209" s="4">
        <v>103</v>
      </c>
      <c r="M209" s="4">
        <v>80</v>
      </c>
      <c r="N209" s="4">
        <v>99</v>
      </c>
      <c r="O209" s="4">
        <v>66</v>
      </c>
      <c r="P209" s="4">
        <v>66.981026016466004</v>
      </c>
      <c r="Q209" s="4">
        <v>78.282906899030706</v>
      </c>
      <c r="R209" s="8"/>
      <c r="S209" s="7" t="s">
        <v>35</v>
      </c>
      <c r="T209" s="4">
        <v>449871</v>
      </c>
      <c r="U209" s="4">
        <v>673424</v>
      </c>
      <c r="V209" s="4">
        <v>2528</v>
      </c>
      <c r="W209" s="4">
        <v>122400</v>
      </c>
      <c r="X209" s="4">
        <v>198994</v>
      </c>
      <c r="Y209" s="4">
        <v>474430</v>
      </c>
      <c r="Z209" s="4">
        <v>120000</v>
      </c>
      <c r="AA209" s="4">
        <v>2400</v>
      </c>
      <c r="AB209" s="4">
        <v>98610</v>
      </c>
      <c r="AC209" s="4">
        <v>881405</v>
      </c>
      <c r="AD209" s="4">
        <v>1215</v>
      </c>
      <c r="AE209" s="4">
        <v>14446</v>
      </c>
      <c r="AF209" s="4">
        <v>995676</v>
      </c>
      <c r="AG209" s="6">
        <v>44056</v>
      </c>
      <c r="AH209" s="6">
        <v>43458</v>
      </c>
      <c r="AI209" s="6">
        <v>598</v>
      </c>
      <c r="AJ209" s="6">
        <v>34835</v>
      </c>
      <c r="AK209" s="6">
        <v>13.5</v>
      </c>
      <c r="AL209" s="4">
        <v>842</v>
      </c>
      <c r="AM209" s="4">
        <v>8176</v>
      </c>
      <c r="AN209" s="4">
        <v>923</v>
      </c>
      <c r="AO209" s="6">
        <v>436587</v>
      </c>
      <c r="AP209" s="6">
        <v>28880</v>
      </c>
      <c r="AQ209" s="6">
        <v>20650</v>
      </c>
      <c r="AR209" s="6">
        <v>387057</v>
      </c>
      <c r="AS209" s="6">
        <v>88.2</v>
      </c>
      <c r="AT209" s="6">
        <v>80.2</v>
      </c>
      <c r="AU209" s="6">
        <v>24.8</v>
      </c>
      <c r="AV209" s="4">
        <v>136</v>
      </c>
      <c r="AW209" s="4">
        <v>129</v>
      </c>
    </row>
    <row r="210" spans="1:49" x14ac:dyDescent="0.2">
      <c r="A210" s="1">
        <v>44517</v>
      </c>
      <c r="B210">
        <f t="shared" si="28"/>
        <v>15.7</v>
      </c>
      <c r="C210" s="1" t="s">
        <v>57</v>
      </c>
      <c r="D210" s="1" t="s">
        <v>63</v>
      </c>
      <c r="E210" s="1" t="s">
        <v>69</v>
      </c>
      <c r="F210" s="1" t="s">
        <v>48</v>
      </c>
      <c r="G210">
        <v>3281</v>
      </c>
      <c r="H210" s="4">
        <v>84.18</v>
      </c>
      <c r="I210" s="4">
        <v>109</v>
      </c>
      <c r="J210" s="4">
        <v>65</v>
      </c>
      <c r="K210" s="8"/>
      <c r="L210" s="4">
        <v>105</v>
      </c>
      <c r="M210" s="4">
        <v>79</v>
      </c>
      <c r="N210" s="4">
        <v>97</v>
      </c>
      <c r="O210" s="4">
        <v>65</v>
      </c>
      <c r="P210" s="4">
        <v>64.952227547258403</v>
      </c>
      <c r="Q210" s="4">
        <v>77.808158334185293</v>
      </c>
      <c r="R210" s="8"/>
      <c r="S210" s="7" t="s">
        <v>35</v>
      </c>
      <c r="T210" s="4">
        <v>446009</v>
      </c>
      <c r="U210" s="4">
        <v>666644</v>
      </c>
      <c r="V210" s="4">
        <v>3146</v>
      </c>
      <c r="W210" s="4">
        <v>122400</v>
      </c>
      <c r="X210" s="4">
        <v>198994</v>
      </c>
      <c r="Y210" s="4">
        <v>467650</v>
      </c>
      <c r="Z210" s="4">
        <v>120000</v>
      </c>
      <c r="AA210" s="4">
        <v>2400</v>
      </c>
      <c r="AB210" s="4">
        <v>98893</v>
      </c>
      <c r="AC210" s="4">
        <v>927929</v>
      </c>
      <c r="AD210" s="4">
        <v>1421</v>
      </c>
      <c r="AE210" s="4">
        <v>9902</v>
      </c>
      <c r="AF210" s="4">
        <v>1038145</v>
      </c>
      <c r="AG210" s="6">
        <v>45889</v>
      </c>
      <c r="AH210" s="6">
        <v>45295</v>
      </c>
      <c r="AI210" s="6">
        <v>594</v>
      </c>
      <c r="AJ210" s="6">
        <v>39101</v>
      </c>
      <c r="AK210" s="6">
        <v>15.5999999999999</v>
      </c>
      <c r="AL210" s="4">
        <v>867</v>
      </c>
      <c r="AM210" s="4">
        <v>8275</v>
      </c>
      <c r="AN210" s="4">
        <v>935</v>
      </c>
      <c r="AO210" s="6">
        <v>439633</v>
      </c>
      <c r="AP210" s="6">
        <v>33092</v>
      </c>
      <c r="AQ210" s="6">
        <v>22120</v>
      </c>
      <c r="AR210" s="6">
        <v>384421</v>
      </c>
      <c r="AS210" s="6">
        <v>88.1</v>
      </c>
      <c r="AT210" s="6">
        <v>80.099999999999994</v>
      </c>
      <c r="AU210" s="6">
        <v>24.1</v>
      </c>
      <c r="AV210" s="4">
        <v>126</v>
      </c>
      <c r="AW210" s="4">
        <v>126</v>
      </c>
    </row>
    <row r="211" spans="1:49" x14ac:dyDescent="0.2">
      <c r="A211" s="1">
        <v>44516</v>
      </c>
      <c r="B211">
        <f t="shared" si="28"/>
        <v>15.7</v>
      </c>
      <c r="C211" s="1" t="s">
        <v>57</v>
      </c>
      <c r="D211" s="1" t="s">
        <v>63</v>
      </c>
      <c r="E211" s="1" t="s">
        <v>69</v>
      </c>
      <c r="F211" s="1" t="s">
        <v>48</v>
      </c>
      <c r="G211">
        <v>3274</v>
      </c>
      <c r="H211" s="4">
        <v>79.06</v>
      </c>
      <c r="I211" s="4">
        <v>110</v>
      </c>
      <c r="J211" s="4">
        <v>64</v>
      </c>
      <c r="K211" s="8"/>
      <c r="L211" s="4">
        <v>101</v>
      </c>
      <c r="M211" s="4">
        <v>78</v>
      </c>
      <c r="N211" s="4">
        <v>97</v>
      </c>
      <c r="O211" s="4">
        <v>65</v>
      </c>
      <c r="P211" s="4">
        <v>63.444200250393202</v>
      </c>
      <c r="Q211" s="4">
        <v>77.822967682871706</v>
      </c>
      <c r="R211" s="8"/>
      <c r="S211" s="7" t="s">
        <v>35</v>
      </c>
      <c r="T211" s="4">
        <v>374306</v>
      </c>
      <c r="U211" s="4">
        <v>682424</v>
      </c>
      <c r="V211" s="4">
        <v>3094</v>
      </c>
      <c r="W211" s="4">
        <v>122400</v>
      </c>
      <c r="X211" s="4">
        <v>198994</v>
      </c>
      <c r="Y211" s="4">
        <v>483430</v>
      </c>
      <c r="Z211" s="4">
        <v>120000</v>
      </c>
      <c r="AA211" s="4">
        <v>2400</v>
      </c>
      <c r="AB211" s="4">
        <v>99599</v>
      </c>
      <c r="AC211" s="4">
        <v>701192</v>
      </c>
      <c r="AD211" s="4">
        <v>1084</v>
      </c>
      <c r="AE211" s="4">
        <v>12385</v>
      </c>
      <c r="AF211" s="4">
        <v>814260</v>
      </c>
      <c r="AG211" s="6">
        <v>46424</v>
      </c>
      <c r="AH211" s="6">
        <v>45765</v>
      </c>
      <c r="AI211" s="6">
        <v>659</v>
      </c>
      <c r="AJ211" s="6">
        <v>43106</v>
      </c>
      <c r="AK211" s="6">
        <v>17.600000000000001</v>
      </c>
      <c r="AL211" s="4">
        <v>905</v>
      </c>
      <c r="AM211" s="4">
        <v>8524</v>
      </c>
      <c r="AN211" s="4">
        <v>938</v>
      </c>
      <c r="AO211" s="6">
        <v>398862</v>
      </c>
      <c r="AP211" s="6">
        <v>31431</v>
      </c>
      <c r="AQ211" s="6">
        <v>19874</v>
      </c>
      <c r="AR211" s="6">
        <v>347557</v>
      </c>
      <c r="AS211" s="6">
        <v>88.1</v>
      </c>
      <c r="AT211" s="6">
        <v>80.099999999999994</v>
      </c>
      <c r="AU211" s="6">
        <v>23.5</v>
      </c>
      <c r="AV211" s="4">
        <v>153</v>
      </c>
      <c r="AW211" s="4">
        <v>164</v>
      </c>
    </row>
    <row r="212" spans="1:49" x14ac:dyDescent="0.2">
      <c r="A212" s="1">
        <v>44515</v>
      </c>
      <c r="B212">
        <f t="shared" si="28"/>
        <v>15.7</v>
      </c>
      <c r="C212" s="1" t="s">
        <v>57</v>
      </c>
      <c r="D212" s="1" t="s">
        <v>63</v>
      </c>
      <c r="E212" s="1" t="s">
        <v>69</v>
      </c>
      <c r="F212" s="1" t="s">
        <v>48</v>
      </c>
      <c r="G212">
        <v>3270</v>
      </c>
      <c r="H212" s="4">
        <v>69.319999999999993</v>
      </c>
      <c r="I212" s="4">
        <v>110</v>
      </c>
      <c r="J212" s="4">
        <v>62</v>
      </c>
      <c r="K212" s="8"/>
      <c r="L212" s="4">
        <v>108</v>
      </c>
      <c r="M212" s="4">
        <v>79</v>
      </c>
      <c r="N212" s="4">
        <v>99</v>
      </c>
      <c r="O212" s="4">
        <v>63</v>
      </c>
      <c r="P212" s="4">
        <v>59.204404707739002</v>
      </c>
      <c r="Q212" s="4">
        <v>75.832789419613206</v>
      </c>
      <c r="R212" s="8"/>
      <c r="S212" s="7" t="s">
        <v>35</v>
      </c>
      <c r="T212" s="4">
        <v>307970</v>
      </c>
      <c r="U212" s="4">
        <v>682734</v>
      </c>
      <c r="V212" s="4">
        <v>2319</v>
      </c>
      <c r="W212" s="4">
        <v>122400</v>
      </c>
      <c r="X212" s="4">
        <v>198994</v>
      </c>
      <c r="Y212" s="4">
        <v>483740</v>
      </c>
      <c r="Z212" s="4">
        <v>120000</v>
      </c>
      <c r="AA212" s="4">
        <v>2400</v>
      </c>
      <c r="AB212" s="4">
        <v>93108</v>
      </c>
      <c r="AC212" s="4">
        <v>834738</v>
      </c>
      <c r="AD212" s="4">
        <v>648</v>
      </c>
      <c r="AE212" s="4">
        <v>12385</v>
      </c>
      <c r="AF212" s="4">
        <v>940879</v>
      </c>
      <c r="AG212" s="6">
        <v>50946</v>
      </c>
      <c r="AH212" s="6">
        <v>50233</v>
      </c>
      <c r="AI212" s="6">
        <v>713</v>
      </c>
      <c r="AJ212" s="6">
        <v>43154</v>
      </c>
      <c r="AK212" s="6">
        <v>18</v>
      </c>
      <c r="AL212" s="4">
        <v>839</v>
      </c>
      <c r="AM212" s="4">
        <v>8801</v>
      </c>
      <c r="AN212" s="4">
        <v>968</v>
      </c>
      <c r="AO212" s="6">
        <v>336683</v>
      </c>
      <c r="AP212" s="6">
        <v>32046</v>
      </c>
      <c r="AQ212" s="6">
        <v>18055</v>
      </c>
      <c r="AR212" s="6">
        <v>286582</v>
      </c>
      <c r="AS212" s="6">
        <v>88</v>
      </c>
      <c r="AT212" s="6">
        <v>80.099999999999994</v>
      </c>
      <c r="AU212" s="6">
        <v>22.9</v>
      </c>
      <c r="AV212" s="4">
        <v>174</v>
      </c>
      <c r="AW212" s="4">
        <v>169</v>
      </c>
    </row>
    <row r="213" spans="1:49" x14ac:dyDescent="0.2">
      <c r="A213" s="1">
        <v>44514</v>
      </c>
      <c r="B213">
        <v>16.739999999999998</v>
      </c>
      <c r="C213" s="1" t="s">
        <v>57</v>
      </c>
      <c r="D213" s="1" t="s">
        <v>63</v>
      </c>
      <c r="E213" s="1" t="s">
        <v>69</v>
      </c>
      <c r="F213" s="1" t="s">
        <v>48</v>
      </c>
      <c r="G213">
        <v>3280</v>
      </c>
      <c r="H213" s="4">
        <v>89.05</v>
      </c>
      <c r="I213" s="4">
        <v>102</v>
      </c>
      <c r="J213" s="4">
        <v>88</v>
      </c>
      <c r="K213" s="8"/>
      <c r="L213" s="4">
        <v>102</v>
      </c>
      <c r="M213" s="4">
        <v>82</v>
      </c>
      <c r="N213" s="4">
        <v>92</v>
      </c>
      <c r="O213" s="4">
        <v>77</v>
      </c>
      <c r="P213" s="4">
        <v>85.822276032368194</v>
      </c>
      <c r="Q213" s="4">
        <v>85.016952546064303</v>
      </c>
      <c r="R213" s="8"/>
      <c r="S213" s="7" t="s">
        <v>35</v>
      </c>
      <c r="T213" s="4">
        <v>339220</v>
      </c>
      <c r="U213" s="4">
        <v>830704</v>
      </c>
      <c r="V213" s="4">
        <v>246</v>
      </c>
      <c r="W213" s="4">
        <v>122400</v>
      </c>
      <c r="X213" s="4">
        <v>198994</v>
      </c>
      <c r="Y213" s="4">
        <v>631710</v>
      </c>
      <c r="Z213" s="4">
        <v>120000</v>
      </c>
      <c r="AA213" s="4">
        <v>2400</v>
      </c>
      <c r="AB213" s="4">
        <v>75375</v>
      </c>
      <c r="AC213" s="4">
        <v>830062</v>
      </c>
      <c r="AD213" s="4">
        <v>246</v>
      </c>
      <c r="AE213" s="4">
        <v>14780</v>
      </c>
      <c r="AF213" s="4">
        <v>920463</v>
      </c>
      <c r="AG213" s="6">
        <v>35513</v>
      </c>
      <c r="AH213" s="6">
        <v>35101</v>
      </c>
      <c r="AI213" s="6">
        <v>412</v>
      </c>
      <c r="AJ213" s="6">
        <v>35355</v>
      </c>
      <c r="AK213" s="6">
        <v>14.6999999999999</v>
      </c>
      <c r="AL213" s="4">
        <v>807</v>
      </c>
      <c r="AM213" s="4">
        <v>8643</v>
      </c>
      <c r="AN213" s="4">
        <v>979</v>
      </c>
      <c r="AO213" s="6">
        <v>257335</v>
      </c>
      <c r="AP213" s="6">
        <v>22938</v>
      </c>
      <c r="AQ213" s="6">
        <v>17048</v>
      </c>
      <c r="AR213" s="6">
        <v>217349</v>
      </c>
      <c r="AS213" s="6">
        <v>88</v>
      </c>
      <c r="AT213" s="6">
        <v>80</v>
      </c>
      <c r="AU213" s="6">
        <v>22.4</v>
      </c>
      <c r="AV213" s="4">
        <v>127</v>
      </c>
      <c r="AW213" s="4">
        <v>131</v>
      </c>
    </row>
    <row r="214" spans="1:49" x14ac:dyDescent="0.2">
      <c r="A214" s="1">
        <v>44513</v>
      </c>
      <c r="B214">
        <f>B213</f>
        <v>16.739999999999998</v>
      </c>
      <c r="C214" s="1" t="s">
        <v>57</v>
      </c>
      <c r="D214" s="1" t="s">
        <v>63</v>
      </c>
      <c r="E214" s="1" t="s">
        <v>69</v>
      </c>
      <c r="F214" s="1" t="s">
        <v>48</v>
      </c>
      <c r="G214">
        <v>3284</v>
      </c>
      <c r="H214" s="4">
        <v>94.53</v>
      </c>
      <c r="I214" s="4">
        <v>102</v>
      </c>
      <c r="J214" s="4">
        <v>88</v>
      </c>
      <c r="K214" s="8"/>
      <c r="L214" s="4">
        <v>90</v>
      </c>
      <c r="M214" s="4">
        <v>81</v>
      </c>
      <c r="N214" s="4">
        <v>95</v>
      </c>
      <c r="O214" s="4">
        <v>78</v>
      </c>
      <c r="P214" s="4">
        <v>82.460575656206103</v>
      </c>
      <c r="Q214" s="4">
        <v>81.487170896415194</v>
      </c>
      <c r="R214" s="8"/>
      <c r="S214" s="7" t="s">
        <v>35</v>
      </c>
      <c r="T214" s="4">
        <v>344996</v>
      </c>
      <c r="U214" s="4">
        <v>830634</v>
      </c>
      <c r="V214" s="4">
        <v>378</v>
      </c>
      <c r="W214" s="4">
        <v>122400</v>
      </c>
      <c r="X214" s="4">
        <v>198994</v>
      </c>
      <c r="Y214" s="4">
        <v>631640</v>
      </c>
      <c r="Z214" s="4">
        <v>120000</v>
      </c>
      <c r="AA214" s="4">
        <v>2400</v>
      </c>
      <c r="AB214" s="4">
        <v>67299</v>
      </c>
      <c r="AC214" s="4">
        <v>574339</v>
      </c>
      <c r="AD214" s="4">
        <v>378</v>
      </c>
      <c r="AE214" s="4">
        <v>15527</v>
      </c>
      <c r="AF214" s="4">
        <v>657543</v>
      </c>
      <c r="AG214" s="6">
        <v>32883</v>
      </c>
      <c r="AH214" s="6">
        <v>32512</v>
      </c>
      <c r="AI214" s="6">
        <v>371</v>
      </c>
      <c r="AJ214" s="6">
        <v>26206</v>
      </c>
      <c r="AK214" s="6">
        <v>10.6999999999999</v>
      </c>
      <c r="AL214" s="4">
        <v>778</v>
      </c>
      <c r="AM214" s="4">
        <v>8556</v>
      </c>
      <c r="AN214" s="4">
        <v>974</v>
      </c>
      <c r="AO214" s="6">
        <v>519837</v>
      </c>
      <c r="AP214" s="6">
        <v>33527</v>
      </c>
      <c r="AQ214" s="6">
        <v>24325</v>
      </c>
      <c r="AR214" s="6">
        <v>461985</v>
      </c>
      <c r="AS214" s="6">
        <v>87.9</v>
      </c>
      <c r="AT214" s="6">
        <v>80</v>
      </c>
      <c r="AU214" s="6">
        <v>22</v>
      </c>
      <c r="AV214" s="4">
        <v>136</v>
      </c>
      <c r="AW214" s="4">
        <v>151</v>
      </c>
    </row>
    <row r="215" spans="1:49" x14ac:dyDescent="0.2">
      <c r="A215" s="1">
        <v>44512</v>
      </c>
      <c r="B215">
        <f t="shared" ref="B215:B219" si="29">B214</f>
        <v>16.739999999999998</v>
      </c>
      <c r="C215" s="1" t="s">
        <v>57</v>
      </c>
      <c r="D215" s="1" t="s">
        <v>63</v>
      </c>
      <c r="E215" s="1" t="s">
        <v>69</v>
      </c>
      <c r="F215" s="1" t="s">
        <v>48</v>
      </c>
      <c r="G215">
        <v>3283</v>
      </c>
      <c r="H215" s="4">
        <v>86</v>
      </c>
      <c r="I215" s="4">
        <v>110</v>
      </c>
      <c r="J215" s="4">
        <v>64</v>
      </c>
      <c r="K215" s="8"/>
      <c r="L215" s="4">
        <v>88</v>
      </c>
      <c r="M215" s="4">
        <v>77</v>
      </c>
      <c r="N215" s="4">
        <v>97</v>
      </c>
      <c r="O215" s="4">
        <v>67</v>
      </c>
      <c r="P215" s="4">
        <v>49.924395978632198</v>
      </c>
      <c r="Q215" s="4">
        <v>78.502088638348397</v>
      </c>
      <c r="R215" s="8"/>
      <c r="S215" s="7" t="s">
        <v>35</v>
      </c>
      <c r="T215" s="4">
        <v>396994</v>
      </c>
      <c r="U215" s="4">
        <v>830674</v>
      </c>
      <c r="V215" s="4">
        <v>2981</v>
      </c>
      <c r="W215" s="4">
        <v>122400</v>
      </c>
      <c r="X215" s="4">
        <v>198994</v>
      </c>
      <c r="Y215" s="4">
        <v>631680</v>
      </c>
      <c r="Z215" s="4">
        <v>120000</v>
      </c>
      <c r="AA215" s="4">
        <v>2400</v>
      </c>
      <c r="AB215" s="4">
        <v>85931</v>
      </c>
      <c r="AC215" s="4">
        <v>731104</v>
      </c>
      <c r="AD215" s="4">
        <v>863</v>
      </c>
      <c r="AE215" s="4">
        <v>16566</v>
      </c>
      <c r="AF215" s="4">
        <v>834464</v>
      </c>
      <c r="AG215" s="6">
        <v>37753</v>
      </c>
      <c r="AH215" s="6">
        <v>37264</v>
      </c>
      <c r="AI215" s="6">
        <v>489</v>
      </c>
      <c r="AJ215" s="6">
        <v>14633</v>
      </c>
      <c r="AK215" s="6">
        <v>5.7999999999999901</v>
      </c>
      <c r="AL215" s="4">
        <v>892</v>
      </c>
      <c r="AM215" s="4">
        <v>8693</v>
      </c>
      <c r="AN215" s="4">
        <v>989</v>
      </c>
      <c r="AO215" s="6">
        <v>414160</v>
      </c>
      <c r="AP215" s="6">
        <v>34338</v>
      </c>
      <c r="AQ215" s="6">
        <v>22048</v>
      </c>
      <c r="AR215" s="6">
        <v>357774</v>
      </c>
      <c r="AS215" s="6">
        <v>87.9</v>
      </c>
      <c r="AT215" s="6">
        <v>80</v>
      </c>
      <c r="AU215" s="6">
        <v>21.2</v>
      </c>
      <c r="AV215" s="4">
        <v>149</v>
      </c>
      <c r="AW215" s="4">
        <v>141</v>
      </c>
    </row>
    <row r="216" spans="1:49" x14ac:dyDescent="0.2">
      <c r="A216" s="1">
        <v>44511</v>
      </c>
      <c r="B216">
        <f t="shared" si="29"/>
        <v>16.739999999999998</v>
      </c>
      <c r="C216" s="1" t="s">
        <v>57</v>
      </c>
      <c r="D216" s="1" t="s">
        <v>63</v>
      </c>
      <c r="E216" s="1" t="s">
        <v>69</v>
      </c>
      <c r="F216" s="1" t="s">
        <v>48</v>
      </c>
      <c r="G216">
        <v>3284</v>
      </c>
      <c r="H216" s="4">
        <v>90.8</v>
      </c>
      <c r="I216" s="4">
        <v>109</v>
      </c>
      <c r="J216" s="4">
        <v>65</v>
      </c>
      <c r="K216" s="8"/>
      <c r="L216" s="4">
        <v>106</v>
      </c>
      <c r="M216" s="4">
        <v>80</v>
      </c>
      <c r="N216" s="4">
        <v>98</v>
      </c>
      <c r="O216" s="4">
        <v>65</v>
      </c>
      <c r="P216" s="4">
        <v>65.923854520503298</v>
      </c>
      <c r="Q216" s="4">
        <v>77.473343569125703</v>
      </c>
      <c r="R216" s="8"/>
      <c r="S216" s="7" t="s">
        <v>35</v>
      </c>
      <c r="T216" s="4">
        <v>439306</v>
      </c>
      <c r="U216" s="4">
        <v>830481</v>
      </c>
      <c r="V216" s="4">
        <v>3862</v>
      </c>
      <c r="W216" s="4">
        <v>122400</v>
      </c>
      <c r="X216" s="4">
        <v>198991</v>
      </c>
      <c r="Y216" s="4">
        <v>631490</v>
      </c>
      <c r="Z216" s="4">
        <v>120000</v>
      </c>
      <c r="AA216" s="4">
        <v>2400</v>
      </c>
      <c r="AB216" s="4">
        <v>89220</v>
      </c>
      <c r="AC216" s="4">
        <v>871872</v>
      </c>
      <c r="AD216" s="4">
        <v>1285</v>
      </c>
      <c r="AE216" s="4">
        <v>22932</v>
      </c>
      <c r="AF216" s="4">
        <v>985309</v>
      </c>
      <c r="AG216" s="6">
        <v>40989</v>
      </c>
      <c r="AH216" s="6">
        <v>40415</v>
      </c>
      <c r="AI216" s="6">
        <v>574</v>
      </c>
      <c r="AJ216" s="6">
        <v>-2741</v>
      </c>
      <c r="AK216" s="6">
        <v>-1</v>
      </c>
      <c r="AL216" s="4">
        <v>965</v>
      </c>
      <c r="AM216" s="4">
        <v>8785</v>
      </c>
      <c r="AN216" s="4">
        <v>999</v>
      </c>
      <c r="AO216" s="6">
        <v>429857</v>
      </c>
      <c r="AP216" s="6">
        <v>36383</v>
      </c>
      <c r="AQ216" s="6">
        <v>22485</v>
      </c>
      <c r="AR216" s="6">
        <v>370989</v>
      </c>
      <c r="AS216" s="6">
        <v>87.8</v>
      </c>
      <c r="AT216" s="6">
        <v>79.900000000000006</v>
      </c>
      <c r="AU216" s="6">
        <v>20.6</v>
      </c>
      <c r="AV216" s="4">
        <v>143</v>
      </c>
      <c r="AW216" s="4">
        <v>155</v>
      </c>
    </row>
    <row r="217" spans="1:49" x14ac:dyDescent="0.2">
      <c r="A217" s="1">
        <v>44510</v>
      </c>
      <c r="B217">
        <f t="shared" si="29"/>
        <v>16.739999999999998</v>
      </c>
      <c r="C217" s="1" t="s">
        <v>57</v>
      </c>
      <c r="D217" s="1" t="s">
        <v>63</v>
      </c>
      <c r="E217" s="1" t="s">
        <v>69</v>
      </c>
      <c r="F217" s="1" t="s">
        <v>48</v>
      </c>
      <c r="G217">
        <v>3294</v>
      </c>
      <c r="H217" s="4">
        <v>83.61</v>
      </c>
      <c r="I217" s="4">
        <v>110</v>
      </c>
      <c r="J217" s="4">
        <v>64</v>
      </c>
      <c r="K217" s="8"/>
      <c r="L217" s="4">
        <v>91</v>
      </c>
      <c r="M217" s="4">
        <v>76</v>
      </c>
      <c r="N217" s="4">
        <v>95</v>
      </c>
      <c r="O217" s="4">
        <v>65</v>
      </c>
      <c r="P217" s="4">
        <v>63.270755359552197</v>
      </c>
      <c r="Q217" s="4">
        <v>74.648702479902695</v>
      </c>
      <c r="R217" s="8"/>
      <c r="S217" s="7" t="s">
        <v>35</v>
      </c>
      <c r="T217" s="4">
        <v>428350</v>
      </c>
      <c r="U217" s="4">
        <v>826671</v>
      </c>
      <c r="V217" s="4">
        <v>3154</v>
      </c>
      <c r="W217" s="4">
        <v>122400</v>
      </c>
      <c r="X217" s="4">
        <v>198991</v>
      </c>
      <c r="Y217" s="4">
        <v>627680</v>
      </c>
      <c r="Z217" s="4">
        <v>120000</v>
      </c>
      <c r="AA217" s="4">
        <v>2400</v>
      </c>
      <c r="AB217" s="4">
        <v>104797</v>
      </c>
      <c r="AC217" s="4">
        <v>903405</v>
      </c>
      <c r="AD217" s="4">
        <v>1147</v>
      </c>
      <c r="AE217" s="4">
        <v>12875</v>
      </c>
      <c r="AF217" s="4">
        <v>1022224</v>
      </c>
      <c r="AG217" s="6">
        <v>42938</v>
      </c>
      <c r="AH217" s="6">
        <v>42379</v>
      </c>
      <c r="AI217" s="6">
        <v>559</v>
      </c>
      <c r="AJ217" s="6">
        <v>-17797</v>
      </c>
      <c r="AK217" s="6">
        <v>-6.5999999999999899</v>
      </c>
      <c r="AL217" s="4">
        <v>988</v>
      </c>
      <c r="AM217" s="4">
        <v>8937</v>
      </c>
      <c r="AN217" s="4">
        <v>1008</v>
      </c>
      <c r="AO217" s="6">
        <v>699192</v>
      </c>
      <c r="AP217" s="6">
        <v>119188</v>
      </c>
      <c r="AQ217" s="6">
        <v>47766</v>
      </c>
      <c r="AR217" s="6">
        <v>532238</v>
      </c>
      <c r="AS217" s="6">
        <v>87.7</v>
      </c>
      <c r="AT217" s="6">
        <v>79.900000000000006</v>
      </c>
      <c r="AU217" s="6">
        <v>19.899999999999999</v>
      </c>
      <c r="AV217" s="4">
        <v>148</v>
      </c>
      <c r="AW217" s="4">
        <v>168</v>
      </c>
    </row>
    <row r="218" spans="1:49" x14ac:dyDescent="0.2">
      <c r="A218" s="1">
        <v>44509</v>
      </c>
      <c r="B218">
        <f t="shared" si="29"/>
        <v>16.739999999999998</v>
      </c>
      <c r="C218" s="1" t="s">
        <v>57</v>
      </c>
      <c r="D218" s="1" t="s">
        <v>63</v>
      </c>
      <c r="E218" s="1" t="s">
        <v>69</v>
      </c>
      <c r="F218" s="1" t="s">
        <v>48</v>
      </c>
      <c r="G218">
        <v>3322</v>
      </c>
      <c r="H218" s="4">
        <v>76.73</v>
      </c>
      <c r="I218" s="4">
        <v>110</v>
      </c>
      <c r="J218" s="4">
        <v>63</v>
      </c>
      <c r="K218" s="4">
        <v>126.08</v>
      </c>
      <c r="L218" s="4">
        <v>103</v>
      </c>
      <c r="M218" s="4">
        <v>77</v>
      </c>
      <c r="N218" s="4">
        <v>97</v>
      </c>
      <c r="O218" s="4">
        <v>65</v>
      </c>
      <c r="P218" s="4">
        <v>62.553316702612101</v>
      </c>
      <c r="Q218" s="4">
        <v>75.116082710117894</v>
      </c>
      <c r="R218" s="8"/>
      <c r="S218" s="7" t="s">
        <v>35</v>
      </c>
      <c r="T218" s="4">
        <v>421310</v>
      </c>
      <c r="U218" s="4">
        <v>826580</v>
      </c>
      <c r="V218" s="4">
        <v>2561</v>
      </c>
      <c r="W218" s="4">
        <v>122400</v>
      </c>
      <c r="X218" s="4">
        <v>198991</v>
      </c>
      <c r="Y218" s="4">
        <v>627580</v>
      </c>
      <c r="Z218" s="4">
        <v>120000</v>
      </c>
      <c r="AA218" s="4">
        <v>2409</v>
      </c>
      <c r="AB218" s="4">
        <v>113907</v>
      </c>
      <c r="AC218" s="4">
        <v>726643</v>
      </c>
      <c r="AD218" s="4">
        <v>1027</v>
      </c>
      <c r="AE218" s="4">
        <v>13344</v>
      </c>
      <c r="AF218" s="4">
        <v>854921</v>
      </c>
      <c r="AG218" s="6">
        <v>42243</v>
      </c>
      <c r="AH218" s="6">
        <v>41672</v>
      </c>
      <c r="AI218" s="6">
        <v>571</v>
      </c>
      <c r="AJ218" s="6">
        <v>-31811</v>
      </c>
      <c r="AK218" s="6">
        <v>-11.5</v>
      </c>
      <c r="AL218" s="4">
        <v>996</v>
      </c>
      <c r="AM218" s="4">
        <v>9008</v>
      </c>
      <c r="AN218" s="4">
        <v>1023</v>
      </c>
      <c r="AO218" s="6">
        <v>401329</v>
      </c>
      <c r="AP218" s="6">
        <v>39836</v>
      </c>
      <c r="AQ218" s="6">
        <v>21199</v>
      </c>
      <c r="AR218" s="6">
        <v>340294</v>
      </c>
      <c r="AS218" s="6">
        <v>87.5</v>
      </c>
      <c r="AT218" s="6">
        <v>79.8</v>
      </c>
      <c r="AU218" s="6">
        <v>19</v>
      </c>
      <c r="AV218" s="4">
        <v>150</v>
      </c>
      <c r="AW218" s="4">
        <v>156</v>
      </c>
    </row>
    <row r="219" spans="1:49" x14ac:dyDescent="0.2">
      <c r="A219" s="1">
        <v>44508</v>
      </c>
      <c r="B219">
        <f t="shared" si="29"/>
        <v>16.739999999999998</v>
      </c>
      <c r="C219" s="1" t="s">
        <v>57</v>
      </c>
      <c r="D219" s="1" t="s">
        <v>63</v>
      </c>
      <c r="E219" s="1" t="s">
        <v>69</v>
      </c>
      <c r="F219" s="1" t="s">
        <v>48</v>
      </c>
      <c r="G219">
        <v>3339</v>
      </c>
      <c r="H219" s="4">
        <v>70.98</v>
      </c>
      <c r="I219" s="4">
        <v>110</v>
      </c>
      <c r="J219" s="4">
        <v>62</v>
      </c>
      <c r="K219" s="4">
        <v>113.29</v>
      </c>
      <c r="L219" s="4">
        <v>108</v>
      </c>
      <c r="M219" s="4">
        <v>79</v>
      </c>
      <c r="N219" s="4">
        <v>98</v>
      </c>
      <c r="O219" s="4">
        <v>63</v>
      </c>
      <c r="P219" s="4">
        <v>59.026782848304101</v>
      </c>
      <c r="Q219" s="4">
        <v>74.666860469444302</v>
      </c>
      <c r="R219" s="8"/>
      <c r="S219" s="7" t="s">
        <v>35</v>
      </c>
      <c r="T219" s="4">
        <v>314583</v>
      </c>
      <c r="U219" s="4">
        <v>861463</v>
      </c>
      <c r="V219" s="4">
        <v>1556</v>
      </c>
      <c r="W219" s="4">
        <v>122400</v>
      </c>
      <c r="X219" s="4">
        <v>198850</v>
      </c>
      <c r="Y219" s="4">
        <v>662500</v>
      </c>
      <c r="Z219" s="4">
        <v>120000</v>
      </c>
      <c r="AA219" s="4">
        <v>2513</v>
      </c>
      <c r="AB219" s="4">
        <v>97571</v>
      </c>
      <c r="AC219" s="4">
        <v>840275</v>
      </c>
      <c r="AD219" s="4">
        <v>839</v>
      </c>
      <c r="AE219" s="4">
        <v>10715</v>
      </c>
      <c r="AF219" s="4">
        <v>949400</v>
      </c>
      <c r="AG219" s="6">
        <v>44125</v>
      </c>
      <c r="AH219" s="6">
        <v>43503</v>
      </c>
      <c r="AI219" s="6">
        <v>622</v>
      </c>
      <c r="AJ219" s="6">
        <v>-40148</v>
      </c>
      <c r="AK219" s="6">
        <v>-14.3</v>
      </c>
      <c r="AL219" s="4">
        <v>1015</v>
      </c>
      <c r="AM219" s="4">
        <v>9056</v>
      </c>
      <c r="AN219" s="4">
        <v>1026</v>
      </c>
      <c r="AO219" s="6">
        <v>331498</v>
      </c>
      <c r="AP219" s="6">
        <v>33559</v>
      </c>
      <c r="AQ219" s="6">
        <v>20361</v>
      </c>
      <c r="AR219" s="6">
        <v>277578</v>
      </c>
      <c r="AS219" s="6">
        <v>87.5</v>
      </c>
      <c r="AT219" s="6">
        <v>79.8</v>
      </c>
      <c r="AU219" s="6">
        <v>18.399999999999999</v>
      </c>
      <c r="AV219" s="4">
        <v>154</v>
      </c>
      <c r="AW219" s="4">
        <v>159</v>
      </c>
    </row>
    <row r="220" spans="1:49" x14ac:dyDescent="0.2">
      <c r="A220" s="1">
        <v>44507</v>
      </c>
      <c r="B220">
        <v>16.59</v>
      </c>
      <c r="C220" s="1" t="s">
        <v>57</v>
      </c>
      <c r="D220" s="1" t="s">
        <v>63</v>
      </c>
      <c r="E220" s="1" t="s">
        <v>69</v>
      </c>
      <c r="F220" s="1" t="s">
        <v>48</v>
      </c>
      <c r="G220">
        <v>3359</v>
      </c>
      <c r="H220" s="4">
        <v>90.23</v>
      </c>
      <c r="I220" s="4">
        <v>101</v>
      </c>
      <c r="J220" s="4">
        <v>89</v>
      </c>
      <c r="K220" s="4">
        <v>124.86</v>
      </c>
      <c r="L220" s="4">
        <v>114</v>
      </c>
      <c r="M220" s="4">
        <v>85</v>
      </c>
      <c r="N220" s="4">
        <v>93</v>
      </c>
      <c r="O220" s="4">
        <v>78</v>
      </c>
      <c r="P220" s="4">
        <v>89.365099560170506</v>
      </c>
      <c r="Q220" s="4">
        <v>85.853133692312696</v>
      </c>
      <c r="R220" s="8"/>
      <c r="S220" s="7" t="s">
        <v>35</v>
      </c>
      <c r="T220" s="4">
        <v>278048</v>
      </c>
      <c r="U220" s="4">
        <v>862003</v>
      </c>
      <c r="V220" s="4">
        <v>305</v>
      </c>
      <c r="W220" s="4">
        <v>122400</v>
      </c>
      <c r="X220" s="4">
        <v>198850</v>
      </c>
      <c r="Y220" s="4">
        <v>662520</v>
      </c>
      <c r="Z220" s="4">
        <v>120000</v>
      </c>
      <c r="AA220" s="4">
        <v>3033</v>
      </c>
      <c r="AB220" s="4">
        <v>78921</v>
      </c>
      <c r="AC220" s="4">
        <v>786999</v>
      </c>
      <c r="AD220" s="4">
        <v>305</v>
      </c>
      <c r="AE220" s="4">
        <v>18193</v>
      </c>
      <c r="AF220" s="4">
        <v>884418</v>
      </c>
      <c r="AG220" s="6">
        <v>30585</v>
      </c>
      <c r="AH220" s="6">
        <v>30195</v>
      </c>
      <c r="AI220" s="6">
        <v>390</v>
      </c>
      <c r="AJ220" s="6">
        <v>-41522</v>
      </c>
      <c r="AK220" s="6">
        <v>-14.6999999999999</v>
      </c>
      <c r="AL220" s="4">
        <v>888</v>
      </c>
      <c r="AM220" s="4">
        <v>8907</v>
      </c>
      <c r="AN220" s="4">
        <v>1012</v>
      </c>
      <c r="AO220" s="6">
        <v>250335</v>
      </c>
      <c r="AP220" s="6">
        <v>25840</v>
      </c>
      <c r="AQ220" s="6">
        <v>14610</v>
      </c>
      <c r="AR220" s="6">
        <v>209885</v>
      </c>
      <c r="AS220" s="6">
        <v>87.4</v>
      </c>
      <c r="AT220" s="6">
        <v>79.7</v>
      </c>
      <c r="AU220" s="6">
        <v>17.899999999999999</v>
      </c>
      <c r="AV220" s="4">
        <v>168</v>
      </c>
      <c r="AW220" s="4">
        <v>160</v>
      </c>
    </row>
    <row r="221" spans="1:49" x14ac:dyDescent="0.2">
      <c r="A221" s="1">
        <v>44506</v>
      </c>
      <c r="B221">
        <f>B220</f>
        <v>16.59</v>
      </c>
      <c r="C221" s="1" t="s">
        <v>57</v>
      </c>
      <c r="D221" s="1" t="s">
        <v>63</v>
      </c>
      <c r="E221" s="1" t="s">
        <v>69</v>
      </c>
      <c r="F221" s="1" t="s">
        <v>48</v>
      </c>
      <c r="G221">
        <v>3387</v>
      </c>
      <c r="H221" s="4">
        <v>92.64</v>
      </c>
      <c r="I221" s="4">
        <v>102</v>
      </c>
      <c r="J221" s="4">
        <v>87</v>
      </c>
      <c r="K221" s="4">
        <v>201.8</v>
      </c>
      <c r="L221" s="4">
        <v>94</v>
      </c>
      <c r="M221" s="4">
        <v>80</v>
      </c>
      <c r="N221" s="4">
        <v>94</v>
      </c>
      <c r="O221" s="4">
        <v>78</v>
      </c>
      <c r="P221" s="4">
        <v>80.780681266063894</v>
      </c>
      <c r="Q221" s="4">
        <v>80.765847385576095</v>
      </c>
      <c r="R221" s="8"/>
      <c r="S221" s="7" t="s">
        <v>35</v>
      </c>
      <c r="T221" s="4">
        <v>331397</v>
      </c>
      <c r="U221" s="4">
        <v>861510</v>
      </c>
      <c r="V221" s="4">
        <v>437</v>
      </c>
      <c r="W221" s="4">
        <v>122400</v>
      </c>
      <c r="X221" s="4">
        <v>198850</v>
      </c>
      <c r="Y221" s="4">
        <v>662660</v>
      </c>
      <c r="Z221" s="4">
        <v>120000</v>
      </c>
      <c r="AA221" s="4">
        <v>2400</v>
      </c>
      <c r="AB221" s="4">
        <v>72115</v>
      </c>
      <c r="AC221" s="4">
        <v>557867</v>
      </c>
      <c r="AD221" s="4">
        <v>437</v>
      </c>
      <c r="AE221" s="4">
        <v>13173</v>
      </c>
      <c r="AF221" s="4">
        <v>643592</v>
      </c>
      <c r="AG221" s="6">
        <v>27435</v>
      </c>
      <c r="AH221" s="6">
        <v>27088</v>
      </c>
      <c r="AI221" s="6">
        <v>347</v>
      </c>
      <c r="AJ221" s="6">
        <v>-38255</v>
      </c>
      <c r="AK221" s="6">
        <v>-13.5</v>
      </c>
      <c r="AL221" s="4">
        <v>831</v>
      </c>
      <c r="AM221" s="4">
        <v>8887</v>
      </c>
      <c r="AN221" s="4">
        <v>1018</v>
      </c>
      <c r="AO221" s="6">
        <v>484130</v>
      </c>
      <c r="AP221" s="6">
        <v>36748</v>
      </c>
      <c r="AQ221" s="6">
        <v>24500</v>
      </c>
      <c r="AR221" s="6">
        <v>422882</v>
      </c>
      <c r="AS221" s="6">
        <v>87.4</v>
      </c>
      <c r="AT221" s="6">
        <v>79.7</v>
      </c>
      <c r="AU221" s="6">
        <v>17.5</v>
      </c>
      <c r="AV221" s="4">
        <v>169</v>
      </c>
      <c r="AW221" s="4">
        <v>169</v>
      </c>
    </row>
    <row r="222" spans="1:49" x14ac:dyDescent="0.2">
      <c r="A222" s="1">
        <v>44505</v>
      </c>
      <c r="B222">
        <f t="shared" ref="B222:B226" si="30">B221</f>
        <v>16.59</v>
      </c>
      <c r="C222" s="1" t="s">
        <v>57</v>
      </c>
      <c r="D222" s="1" t="s">
        <v>63</v>
      </c>
      <c r="E222" s="1" t="s">
        <v>69</v>
      </c>
      <c r="F222" s="1" t="s">
        <v>48</v>
      </c>
      <c r="G222">
        <v>3415</v>
      </c>
      <c r="H222" s="4">
        <v>83.8</v>
      </c>
      <c r="I222" s="4">
        <v>110</v>
      </c>
      <c r="J222" s="4">
        <v>63</v>
      </c>
      <c r="K222" s="4">
        <v>161.19</v>
      </c>
      <c r="L222" s="4">
        <v>103</v>
      </c>
      <c r="M222" s="4">
        <v>77</v>
      </c>
      <c r="N222" s="4">
        <v>99</v>
      </c>
      <c r="O222" s="4">
        <v>66</v>
      </c>
      <c r="P222" s="4">
        <v>63.145121294052601</v>
      </c>
      <c r="Q222" s="4">
        <v>74.544187803976797</v>
      </c>
      <c r="R222" s="8"/>
      <c r="S222" s="7" t="s">
        <v>35</v>
      </c>
      <c r="T222" s="4">
        <v>412840</v>
      </c>
      <c r="U222" s="4">
        <v>861321</v>
      </c>
      <c r="V222" s="4">
        <v>3474</v>
      </c>
      <c r="W222" s="4">
        <v>122400</v>
      </c>
      <c r="X222" s="4">
        <v>198850</v>
      </c>
      <c r="Y222" s="4">
        <v>659420</v>
      </c>
      <c r="Z222" s="4">
        <v>120000</v>
      </c>
      <c r="AA222" s="4">
        <v>5451</v>
      </c>
      <c r="AB222" s="4">
        <v>88942</v>
      </c>
      <c r="AC222" s="4">
        <v>715247</v>
      </c>
      <c r="AD222" s="4">
        <v>1277</v>
      </c>
      <c r="AE222" s="4">
        <v>22006</v>
      </c>
      <c r="AF222" s="4">
        <v>827472</v>
      </c>
      <c r="AG222" s="6">
        <v>30314</v>
      </c>
      <c r="AH222" s="6">
        <v>29885</v>
      </c>
      <c r="AI222" s="6">
        <v>429</v>
      </c>
      <c r="AJ222" s="6">
        <v>-33668</v>
      </c>
      <c r="AK222" s="6">
        <v>-11.8</v>
      </c>
      <c r="AL222" s="4">
        <v>861</v>
      </c>
      <c r="AM222" s="4">
        <v>9131</v>
      </c>
      <c r="AN222" s="4">
        <v>1026</v>
      </c>
      <c r="AO222" s="6">
        <v>388827</v>
      </c>
      <c r="AP222" s="6">
        <v>43491</v>
      </c>
      <c r="AQ222" s="6">
        <v>22633</v>
      </c>
      <c r="AR222" s="6">
        <v>322703</v>
      </c>
      <c r="AS222" s="6">
        <v>87.3</v>
      </c>
      <c r="AT222" s="6">
        <v>79.7</v>
      </c>
      <c r="AU222" s="6">
        <v>16.8</v>
      </c>
      <c r="AV222" s="4">
        <v>160</v>
      </c>
      <c r="AW222" s="4">
        <v>166</v>
      </c>
    </row>
    <row r="223" spans="1:49" x14ac:dyDescent="0.2">
      <c r="A223" s="1">
        <v>44504</v>
      </c>
      <c r="B223">
        <f t="shared" si="30"/>
        <v>16.59</v>
      </c>
      <c r="C223" s="1" t="s">
        <v>57</v>
      </c>
      <c r="D223" s="1" t="s">
        <v>63</v>
      </c>
      <c r="E223" s="1" t="s">
        <v>69</v>
      </c>
      <c r="F223" s="1" t="s">
        <v>48</v>
      </c>
      <c r="G223">
        <v>3458</v>
      </c>
      <c r="H223" s="4">
        <v>88.48</v>
      </c>
      <c r="I223" s="4">
        <v>110</v>
      </c>
      <c r="J223" s="4">
        <v>63</v>
      </c>
      <c r="K223" s="4">
        <v>138.69999999999999</v>
      </c>
      <c r="L223" s="4">
        <v>94</v>
      </c>
      <c r="M223" s="4">
        <v>79</v>
      </c>
      <c r="N223" s="4">
        <v>98</v>
      </c>
      <c r="O223" s="4">
        <v>65</v>
      </c>
      <c r="P223" s="4">
        <v>65.713732725779394</v>
      </c>
      <c r="Q223" s="4">
        <v>74.105865791392006</v>
      </c>
      <c r="R223" s="8"/>
      <c r="S223" s="7" t="s">
        <v>35</v>
      </c>
      <c r="T223" s="4">
        <v>395546</v>
      </c>
      <c r="U223" s="4">
        <v>866287</v>
      </c>
      <c r="V223" s="4">
        <v>3463</v>
      </c>
      <c r="W223" s="4">
        <v>122400</v>
      </c>
      <c r="X223" s="4">
        <v>198849</v>
      </c>
      <c r="Y223" s="4">
        <v>662760</v>
      </c>
      <c r="Z223" s="4">
        <v>120000</v>
      </c>
      <c r="AA223" s="4">
        <v>7078</v>
      </c>
      <c r="AB223" s="4">
        <v>88601</v>
      </c>
      <c r="AC223" s="4">
        <v>823640</v>
      </c>
      <c r="AD223" s="4">
        <v>1328</v>
      </c>
      <c r="AE223" s="4">
        <v>23451</v>
      </c>
      <c r="AF223" s="4">
        <v>937020</v>
      </c>
      <c r="AG223" s="6">
        <v>33656</v>
      </c>
      <c r="AH223" s="6">
        <v>33234</v>
      </c>
      <c r="AI223" s="6">
        <v>422</v>
      </c>
      <c r="AJ223" s="6">
        <v>-24144</v>
      </c>
      <c r="AK223" s="6">
        <v>-8.5</v>
      </c>
      <c r="AL223" s="4">
        <v>888</v>
      </c>
      <c r="AM223" s="4">
        <v>9332</v>
      </c>
      <c r="AN223" s="4">
        <v>1034</v>
      </c>
      <c r="AO223" s="6">
        <v>398611</v>
      </c>
      <c r="AP223" s="6">
        <v>43731</v>
      </c>
      <c r="AQ223" s="6">
        <v>20482</v>
      </c>
      <c r="AR223" s="6">
        <v>334398</v>
      </c>
      <c r="AS223" s="6">
        <v>87.2</v>
      </c>
      <c r="AT223" s="6">
        <v>79.599999999999994</v>
      </c>
      <c r="AU223" s="6">
        <v>16.3</v>
      </c>
      <c r="AV223" s="4">
        <v>156</v>
      </c>
      <c r="AW223" s="4">
        <v>168</v>
      </c>
    </row>
    <row r="224" spans="1:49" x14ac:dyDescent="0.2">
      <c r="A224" s="1">
        <v>44503</v>
      </c>
      <c r="B224">
        <f t="shared" si="30"/>
        <v>16.59</v>
      </c>
      <c r="C224" s="1" t="s">
        <v>57</v>
      </c>
      <c r="D224" s="1" t="s">
        <v>63</v>
      </c>
      <c r="E224" s="1" t="s">
        <v>69</v>
      </c>
      <c r="F224" s="1" t="s">
        <v>48</v>
      </c>
      <c r="G224">
        <v>3531</v>
      </c>
      <c r="H224" s="4">
        <v>83.88</v>
      </c>
      <c r="I224" s="4">
        <v>110</v>
      </c>
      <c r="J224" s="4">
        <v>63</v>
      </c>
      <c r="K224" s="4">
        <v>134.81</v>
      </c>
      <c r="L224" s="4">
        <v>95</v>
      </c>
      <c r="M224" s="4">
        <v>77</v>
      </c>
      <c r="N224" s="4">
        <v>97</v>
      </c>
      <c r="O224" s="4">
        <v>64</v>
      </c>
      <c r="P224" s="4">
        <v>63.741177974012999</v>
      </c>
      <c r="Q224" s="4">
        <v>74.008881979726397</v>
      </c>
      <c r="R224" s="8"/>
      <c r="S224" s="7" t="s">
        <v>35</v>
      </c>
      <c r="T224" s="4">
        <v>427163</v>
      </c>
      <c r="U224" s="4">
        <v>879738</v>
      </c>
      <c r="V224" s="4">
        <v>2829</v>
      </c>
      <c r="W224" s="4">
        <v>122400</v>
      </c>
      <c r="X224" s="4">
        <v>198849</v>
      </c>
      <c r="Y224" s="4">
        <v>662370</v>
      </c>
      <c r="Z224" s="4">
        <v>120000</v>
      </c>
      <c r="AA224" s="4">
        <v>20919</v>
      </c>
      <c r="AB224" s="4">
        <v>99604</v>
      </c>
      <c r="AC224" s="4">
        <v>882016</v>
      </c>
      <c r="AD224" s="4">
        <v>1339</v>
      </c>
      <c r="AE224" s="4">
        <v>35623</v>
      </c>
      <c r="AF224" s="4">
        <v>1018582</v>
      </c>
      <c r="AG224" s="6">
        <v>35982</v>
      </c>
      <c r="AH224" s="6">
        <v>35523</v>
      </c>
      <c r="AI224" s="6">
        <v>459</v>
      </c>
      <c r="AJ224" s="6">
        <v>-20235</v>
      </c>
      <c r="AK224" s="6">
        <v>-7</v>
      </c>
      <c r="AL224" s="4">
        <v>985</v>
      </c>
      <c r="AM224" s="4">
        <v>9474</v>
      </c>
      <c r="AN224" s="4">
        <v>1019</v>
      </c>
      <c r="AO224" s="6">
        <v>419041</v>
      </c>
      <c r="AP224" s="6">
        <v>41242</v>
      </c>
      <c r="AQ224" s="6">
        <v>17965</v>
      </c>
      <c r="AR224" s="6">
        <v>359834</v>
      </c>
      <c r="AS224" s="6">
        <v>87.1</v>
      </c>
      <c r="AT224" s="6">
        <v>79.599999999999994</v>
      </c>
      <c r="AU224" s="6">
        <v>15.7</v>
      </c>
      <c r="AV224" s="4">
        <v>165</v>
      </c>
      <c r="AW224" s="4">
        <v>182</v>
      </c>
    </row>
    <row r="225" spans="1:49" x14ac:dyDescent="0.2">
      <c r="A225" s="1">
        <v>44502</v>
      </c>
      <c r="B225">
        <f t="shared" si="30"/>
        <v>16.59</v>
      </c>
      <c r="C225" s="1" t="s">
        <v>57</v>
      </c>
      <c r="D225" s="1" t="s">
        <v>63</v>
      </c>
      <c r="E225" s="1" t="s">
        <v>69</v>
      </c>
      <c r="F225" s="1" t="s">
        <v>48</v>
      </c>
      <c r="G225">
        <v>3618</v>
      </c>
      <c r="H225" s="4">
        <v>82.13</v>
      </c>
      <c r="I225" s="4">
        <v>110</v>
      </c>
      <c r="J225" s="4">
        <v>62</v>
      </c>
      <c r="K225" s="4">
        <v>131.29</v>
      </c>
      <c r="L225" s="4">
        <v>105</v>
      </c>
      <c r="M225" s="4">
        <v>78</v>
      </c>
      <c r="N225" s="4">
        <v>98</v>
      </c>
      <c r="O225" s="4">
        <v>64</v>
      </c>
      <c r="P225" s="4">
        <v>62.452597533934302</v>
      </c>
      <c r="Q225" s="4">
        <v>66.1778159853571</v>
      </c>
      <c r="R225" s="8"/>
      <c r="S225" s="7" t="s">
        <v>35</v>
      </c>
      <c r="T225" s="4">
        <v>427733</v>
      </c>
      <c r="U225" s="4">
        <v>867065</v>
      </c>
      <c r="V225" s="4">
        <v>2982</v>
      </c>
      <c r="W225" s="4">
        <v>122400</v>
      </c>
      <c r="X225" s="4">
        <v>198849</v>
      </c>
      <c r="Y225" s="4">
        <v>662490</v>
      </c>
      <c r="Z225" s="4">
        <v>120000</v>
      </c>
      <c r="AA225" s="4">
        <v>8126</v>
      </c>
      <c r="AB225" s="4">
        <v>110424</v>
      </c>
      <c r="AC225" s="4">
        <v>739349</v>
      </c>
      <c r="AD225" s="4">
        <v>1362</v>
      </c>
      <c r="AE225" s="4">
        <v>17325</v>
      </c>
      <c r="AF225" s="4">
        <v>868460</v>
      </c>
      <c r="AG225" s="6">
        <v>38014</v>
      </c>
      <c r="AH225" s="6">
        <v>37524</v>
      </c>
      <c r="AI225" s="6">
        <v>490</v>
      </c>
      <c r="AJ225" s="6">
        <v>-21794</v>
      </c>
      <c r="AK225" s="6">
        <v>-7.2999999999999901</v>
      </c>
      <c r="AL225" s="4">
        <v>1084</v>
      </c>
      <c r="AM225" s="4">
        <v>9690</v>
      </c>
      <c r="AN225" s="4">
        <v>1024</v>
      </c>
      <c r="AO225" s="6">
        <v>364255</v>
      </c>
      <c r="AP225" s="6">
        <v>46663</v>
      </c>
      <c r="AQ225" s="6">
        <v>20922</v>
      </c>
      <c r="AR225" s="6">
        <v>296670</v>
      </c>
      <c r="AS225" s="6">
        <v>87.1</v>
      </c>
      <c r="AT225" s="6">
        <v>79.599999999999994</v>
      </c>
      <c r="AU225" s="6">
        <v>15</v>
      </c>
      <c r="AV225" s="4">
        <v>158</v>
      </c>
      <c r="AW225" s="4">
        <v>164</v>
      </c>
    </row>
    <row r="226" spans="1:49" x14ac:dyDescent="0.2">
      <c r="A226" s="1">
        <v>44501</v>
      </c>
      <c r="B226">
        <f t="shared" si="30"/>
        <v>16.59</v>
      </c>
      <c r="C226" s="1" t="s">
        <v>57</v>
      </c>
      <c r="D226" s="1" t="s">
        <v>63</v>
      </c>
      <c r="E226" s="1" t="s">
        <v>69</v>
      </c>
      <c r="F226" s="1" t="s">
        <v>48</v>
      </c>
      <c r="G226">
        <v>3653</v>
      </c>
      <c r="H226" s="4">
        <v>76.58</v>
      </c>
      <c r="I226" s="4">
        <v>110</v>
      </c>
      <c r="J226" s="4">
        <v>60</v>
      </c>
      <c r="K226" s="4">
        <v>121.33</v>
      </c>
      <c r="L226" s="4">
        <v>112</v>
      </c>
      <c r="M226" s="4">
        <v>80</v>
      </c>
      <c r="N226" s="4">
        <v>99</v>
      </c>
      <c r="O226" s="4">
        <v>63</v>
      </c>
      <c r="P226" s="4">
        <v>58.7049938660858</v>
      </c>
      <c r="Q226" s="4">
        <v>74.319193090695407</v>
      </c>
      <c r="R226" s="8"/>
      <c r="S226" s="7" t="s">
        <v>35</v>
      </c>
      <c r="T226" s="4">
        <v>279396</v>
      </c>
      <c r="U226" s="4">
        <v>861688</v>
      </c>
      <c r="V226" s="4">
        <v>2650</v>
      </c>
      <c r="W226" s="4">
        <v>122400</v>
      </c>
      <c r="X226" s="4">
        <v>198849</v>
      </c>
      <c r="Y226" s="4">
        <v>662450</v>
      </c>
      <c r="Z226" s="4">
        <v>120000</v>
      </c>
      <c r="AA226" s="4">
        <v>2789</v>
      </c>
      <c r="AB226" s="4">
        <v>94438</v>
      </c>
      <c r="AC226" s="4">
        <v>832815</v>
      </c>
      <c r="AD226" s="4">
        <v>953</v>
      </c>
      <c r="AE226" s="4">
        <v>12362</v>
      </c>
      <c r="AF226" s="4">
        <v>940568</v>
      </c>
      <c r="AG226" s="6">
        <v>45103</v>
      </c>
      <c r="AH226" s="6">
        <v>44479</v>
      </c>
      <c r="AI226" s="6">
        <v>624</v>
      </c>
      <c r="AJ226" s="6">
        <v>-28078</v>
      </c>
      <c r="AK226" s="6">
        <v>-9.0999999999999908</v>
      </c>
      <c r="AL226" s="4">
        <v>1099</v>
      </c>
      <c r="AM226" s="4">
        <v>9708</v>
      </c>
      <c r="AN226" s="4">
        <v>1030</v>
      </c>
      <c r="AO226" s="6">
        <v>297852</v>
      </c>
      <c r="AP226" s="6">
        <v>37695</v>
      </c>
      <c r="AQ226" s="6">
        <v>19214</v>
      </c>
      <c r="AR226" s="6">
        <v>240943</v>
      </c>
      <c r="AS226" s="6">
        <v>87</v>
      </c>
      <c r="AT226" s="6">
        <v>79.5</v>
      </c>
      <c r="AU226" s="6">
        <v>14.5</v>
      </c>
      <c r="AV226" s="4">
        <v>177</v>
      </c>
      <c r="AW226" s="4">
        <v>190</v>
      </c>
    </row>
    <row r="227" spans="1:49" x14ac:dyDescent="0.2">
      <c r="A227" s="1">
        <v>44500</v>
      </c>
      <c r="B227">
        <v>13.14</v>
      </c>
      <c r="C227" s="1" t="s">
        <v>57</v>
      </c>
      <c r="D227" s="1" t="s">
        <v>63</v>
      </c>
      <c r="E227" s="1" t="s">
        <v>69</v>
      </c>
      <c r="F227" s="1" t="s">
        <v>48</v>
      </c>
      <c r="G227">
        <v>3664</v>
      </c>
      <c r="H227" s="4">
        <v>88.3</v>
      </c>
      <c r="I227" s="4">
        <v>102</v>
      </c>
      <c r="J227" s="4">
        <v>88</v>
      </c>
      <c r="K227" s="4">
        <v>121.65</v>
      </c>
      <c r="L227" s="4">
        <v>86</v>
      </c>
      <c r="M227" s="4">
        <v>78</v>
      </c>
      <c r="N227" s="4">
        <v>92</v>
      </c>
      <c r="O227" s="4">
        <v>73</v>
      </c>
      <c r="P227" s="4">
        <v>79.084771500687495</v>
      </c>
      <c r="Q227" s="4">
        <v>86.527445469636703</v>
      </c>
      <c r="R227" s="8"/>
      <c r="S227" s="7" t="s">
        <v>35</v>
      </c>
      <c r="T227" s="4">
        <v>288275</v>
      </c>
      <c r="U227" s="4">
        <v>874504</v>
      </c>
      <c r="V227" s="4">
        <v>429</v>
      </c>
      <c r="W227" s="4">
        <v>122400</v>
      </c>
      <c r="X227" s="4">
        <v>198849</v>
      </c>
      <c r="Y227" s="4">
        <v>674710</v>
      </c>
      <c r="Z227" s="4">
        <v>120000</v>
      </c>
      <c r="AA227" s="4">
        <v>3345</v>
      </c>
      <c r="AB227" s="4">
        <v>70067</v>
      </c>
      <c r="AC227" s="4">
        <v>869759</v>
      </c>
      <c r="AD227" s="4">
        <v>429</v>
      </c>
      <c r="AE227" s="4">
        <v>14334</v>
      </c>
      <c r="AF227" s="4">
        <v>954589</v>
      </c>
      <c r="AG227" s="6">
        <v>34806</v>
      </c>
      <c r="AH227" s="6">
        <v>34358</v>
      </c>
      <c r="AI227" s="6">
        <v>448</v>
      </c>
      <c r="AJ227" s="6">
        <v>-36007</v>
      </c>
      <c r="AK227" s="6">
        <v>-11.3</v>
      </c>
      <c r="AL227" s="4">
        <v>1009</v>
      </c>
      <c r="AM227" s="4">
        <v>9462</v>
      </c>
      <c r="AN227" s="4">
        <v>980</v>
      </c>
      <c r="AO227" s="6">
        <v>204800</v>
      </c>
      <c r="AP227" s="6">
        <v>27402</v>
      </c>
      <c r="AQ227" s="6">
        <v>13449</v>
      </c>
      <c r="AR227" s="6">
        <v>163949</v>
      </c>
      <c r="AS227" s="6">
        <v>86.9</v>
      </c>
      <c r="AT227" s="6">
        <v>79.5</v>
      </c>
      <c r="AU227" s="6">
        <v>14.1</v>
      </c>
      <c r="AV227" s="4">
        <v>188</v>
      </c>
      <c r="AW227" s="4">
        <v>195</v>
      </c>
    </row>
    <row r="228" spans="1:49" x14ac:dyDescent="0.2">
      <c r="A228" s="1">
        <v>44499</v>
      </c>
      <c r="B228">
        <f>B227</f>
        <v>13.14</v>
      </c>
      <c r="C228" s="1" t="s">
        <v>57</v>
      </c>
      <c r="D228" s="1" t="s">
        <v>63</v>
      </c>
      <c r="E228" s="1" t="s">
        <v>69</v>
      </c>
      <c r="F228" s="1" t="s">
        <v>48</v>
      </c>
      <c r="G228">
        <v>3686</v>
      </c>
      <c r="H228" s="4">
        <v>93.16</v>
      </c>
      <c r="I228" s="4">
        <v>101</v>
      </c>
      <c r="J228" s="4">
        <v>87</v>
      </c>
      <c r="K228" s="4">
        <v>205.82</v>
      </c>
      <c r="L228" s="4">
        <v>87</v>
      </c>
      <c r="M228" s="4">
        <v>79</v>
      </c>
      <c r="N228" s="4">
        <v>95</v>
      </c>
      <c r="O228" s="4">
        <v>78</v>
      </c>
      <c r="P228" s="4">
        <v>78.779352121497695</v>
      </c>
      <c r="Q228" s="4">
        <v>83.767599001886794</v>
      </c>
      <c r="R228" s="8"/>
      <c r="S228" s="7" t="s">
        <v>35</v>
      </c>
      <c r="T228" s="4">
        <v>341945</v>
      </c>
      <c r="U228" s="4">
        <v>877989</v>
      </c>
      <c r="V228" s="4">
        <v>503</v>
      </c>
      <c r="W228" s="4">
        <v>122400</v>
      </c>
      <c r="X228" s="4">
        <v>198849</v>
      </c>
      <c r="Y228" s="4">
        <v>670680</v>
      </c>
      <c r="Z228" s="4">
        <v>120000</v>
      </c>
      <c r="AA228" s="4">
        <v>10860</v>
      </c>
      <c r="AB228" s="4">
        <v>69308</v>
      </c>
      <c r="AC228" s="4">
        <v>581713</v>
      </c>
      <c r="AD228" s="4">
        <v>503</v>
      </c>
      <c r="AE228" s="4">
        <v>21541</v>
      </c>
      <c r="AF228" s="4">
        <v>673065</v>
      </c>
      <c r="AG228" s="6">
        <v>33560</v>
      </c>
      <c r="AH228" s="6">
        <v>33212</v>
      </c>
      <c r="AI228" s="6">
        <v>348</v>
      </c>
      <c r="AJ228" s="6">
        <v>-43040</v>
      </c>
      <c r="AK228" s="6">
        <v>-13.1999999999999</v>
      </c>
      <c r="AL228" s="4">
        <v>904</v>
      </c>
      <c r="AM228" s="4">
        <v>9310</v>
      </c>
      <c r="AN228" s="4">
        <v>968</v>
      </c>
      <c r="AO228" s="6">
        <v>433867</v>
      </c>
      <c r="AP228" s="6">
        <v>36052</v>
      </c>
      <c r="AQ228" s="6">
        <v>25401</v>
      </c>
      <c r="AR228" s="6">
        <v>372414</v>
      </c>
      <c r="AS228" s="6">
        <v>86.9</v>
      </c>
      <c r="AT228" s="6">
        <v>79.5</v>
      </c>
      <c r="AU228" s="6">
        <v>13.8</v>
      </c>
      <c r="AV228" s="4">
        <v>169</v>
      </c>
      <c r="AW228" s="4">
        <v>164</v>
      </c>
    </row>
    <row r="229" spans="1:49" x14ac:dyDescent="0.2">
      <c r="A229" s="1">
        <v>44498</v>
      </c>
      <c r="B229">
        <f t="shared" ref="B229:B233" si="31">B228</f>
        <v>13.14</v>
      </c>
      <c r="C229" s="1" t="s">
        <v>57</v>
      </c>
      <c r="D229" s="1" t="s">
        <v>63</v>
      </c>
      <c r="E229" s="1" t="s">
        <v>69</v>
      </c>
      <c r="F229" s="1" t="s">
        <v>48</v>
      </c>
      <c r="G229">
        <v>3678</v>
      </c>
      <c r="H229" s="4">
        <v>88.62</v>
      </c>
      <c r="I229" s="4">
        <v>111</v>
      </c>
      <c r="J229" s="4">
        <v>54</v>
      </c>
      <c r="K229" s="4">
        <v>180.31</v>
      </c>
      <c r="L229" s="4">
        <v>90</v>
      </c>
      <c r="M229" s="4">
        <v>79</v>
      </c>
      <c r="N229" s="4">
        <v>97</v>
      </c>
      <c r="O229" s="4">
        <v>65</v>
      </c>
      <c r="P229" s="4">
        <v>63.050498618457397</v>
      </c>
      <c r="Q229" s="4">
        <v>67.654446732196305</v>
      </c>
      <c r="R229" s="8"/>
      <c r="S229" s="7" t="s">
        <v>35</v>
      </c>
      <c r="T229" s="4">
        <v>420255</v>
      </c>
      <c r="U229" s="4">
        <v>875203</v>
      </c>
      <c r="V229" s="4">
        <v>2233</v>
      </c>
      <c r="W229" s="4">
        <v>122400</v>
      </c>
      <c r="X229" s="4">
        <v>198849</v>
      </c>
      <c r="Y229" s="4">
        <v>660640</v>
      </c>
      <c r="Z229" s="4">
        <v>120000</v>
      </c>
      <c r="AA229" s="4">
        <v>18114</v>
      </c>
      <c r="AB229" s="4">
        <v>83052</v>
      </c>
      <c r="AC229" s="4">
        <v>722760</v>
      </c>
      <c r="AD229" s="4">
        <v>1216</v>
      </c>
      <c r="AE229" s="4">
        <v>31054</v>
      </c>
      <c r="AF229" s="4">
        <v>838082</v>
      </c>
      <c r="AG229" s="6">
        <v>40249</v>
      </c>
      <c r="AH229" s="6">
        <v>39748</v>
      </c>
      <c r="AI229" s="6">
        <v>501</v>
      </c>
      <c r="AJ229" s="6">
        <v>-44280</v>
      </c>
      <c r="AK229" s="6">
        <v>-13.4</v>
      </c>
      <c r="AL229" s="4">
        <v>1032</v>
      </c>
      <c r="AM229" s="4">
        <v>9257</v>
      </c>
      <c r="AN229" s="4">
        <v>962</v>
      </c>
      <c r="AO229" s="6">
        <v>348474</v>
      </c>
      <c r="AP229" s="6">
        <v>40967</v>
      </c>
      <c r="AQ229" s="6">
        <v>22279</v>
      </c>
      <c r="AR229" s="6">
        <v>285228</v>
      </c>
      <c r="AS229" s="6">
        <v>86.8</v>
      </c>
      <c r="AT229" s="6">
        <v>79.400000000000006</v>
      </c>
      <c r="AU229" s="6">
        <v>13.2</v>
      </c>
      <c r="AV229" s="4">
        <v>171</v>
      </c>
      <c r="AW229" s="4">
        <v>184</v>
      </c>
    </row>
    <row r="230" spans="1:49" x14ac:dyDescent="0.2">
      <c r="A230" s="1">
        <v>44497</v>
      </c>
      <c r="B230">
        <f t="shared" si="31"/>
        <v>13.14</v>
      </c>
      <c r="C230" s="1" t="s">
        <v>57</v>
      </c>
      <c r="D230" s="1" t="s">
        <v>63</v>
      </c>
      <c r="E230" s="1" t="s">
        <v>69</v>
      </c>
      <c r="F230" s="1" t="s">
        <v>48</v>
      </c>
      <c r="G230">
        <v>3666</v>
      </c>
      <c r="H230" s="4">
        <v>96.68</v>
      </c>
      <c r="I230" s="4">
        <v>110</v>
      </c>
      <c r="J230" s="4">
        <v>55</v>
      </c>
      <c r="K230" s="4">
        <v>168.05</v>
      </c>
      <c r="L230" s="4">
        <v>118</v>
      </c>
      <c r="M230" s="4">
        <v>84</v>
      </c>
      <c r="N230" s="4">
        <v>98</v>
      </c>
      <c r="O230" s="4">
        <v>63</v>
      </c>
      <c r="P230" s="4">
        <v>65.6711126544743</v>
      </c>
      <c r="Q230" s="4">
        <v>67.666717571535798</v>
      </c>
      <c r="R230" s="8"/>
      <c r="S230" s="7" t="s">
        <v>35</v>
      </c>
      <c r="T230" s="4">
        <v>418180</v>
      </c>
      <c r="U230" s="4">
        <v>868534</v>
      </c>
      <c r="V230" s="4">
        <v>2881</v>
      </c>
      <c r="W230" s="4">
        <v>122400</v>
      </c>
      <c r="X230" s="4">
        <v>198864</v>
      </c>
      <c r="Y230" s="4">
        <v>660640</v>
      </c>
      <c r="Z230" s="4">
        <v>120000</v>
      </c>
      <c r="AA230" s="4">
        <v>11430</v>
      </c>
      <c r="AB230" s="4">
        <v>86619</v>
      </c>
      <c r="AC230" s="4">
        <v>760830</v>
      </c>
      <c r="AD230" s="4">
        <v>1466</v>
      </c>
      <c r="AE230" s="4">
        <v>25991</v>
      </c>
      <c r="AF230" s="4">
        <v>874906</v>
      </c>
      <c r="AG230" s="6">
        <v>41379</v>
      </c>
      <c r="AH230" s="6">
        <v>40863</v>
      </c>
      <c r="AI230" s="6">
        <v>516</v>
      </c>
      <c r="AJ230" s="6">
        <v>-46761</v>
      </c>
      <c r="AK230" s="6">
        <v>-14.0999999999999</v>
      </c>
      <c r="AL230" s="4">
        <v>1087</v>
      </c>
      <c r="AM230" s="4">
        <v>9159</v>
      </c>
      <c r="AN230" s="4">
        <v>944</v>
      </c>
      <c r="AO230" s="6">
        <v>366081</v>
      </c>
      <c r="AP230" s="6">
        <v>44702</v>
      </c>
      <c r="AQ230" s="6">
        <v>23723</v>
      </c>
      <c r="AR230" s="6">
        <v>297656</v>
      </c>
      <c r="AS230" s="6">
        <v>86.7</v>
      </c>
      <c r="AT230" s="6">
        <v>79.400000000000006</v>
      </c>
      <c r="AU230" s="6">
        <v>12.7</v>
      </c>
      <c r="AV230" s="4">
        <v>192</v>
      </c>
      <c r="AW230" s="4">
        <v>198</v>
      </c>
    </row>
    <row r="231" spans="1:49" x14ac:dyDescent="0.2">
      <c r="A231" s="1">
        <v>44496</v>
      </c>
      <c r="B231">
        <f t="shared" si="31"/>
        <v>13.14</v>
      </c>
      <c r="C231" s="1" t="s">
        <v>57</v>
      </c>
      <c r="D231" s="1" t="s">
        <v>63</v>
      </c>
      <c r="E231" s="1" t="s">
        <v>69</v>
      </c>
      <c r="F231" s="1" t="s">
        <v>48</v>
      </c>
      <c r="G231">
        <v>3637</v>
      </c>
      <c r="H231" s="4">
        <v>91.05</v>
      </c>
      <c r="I231" s="4">
        <v>111</v>
      </c>
      <c r="J231" s="4">
        <v>55</v>
      </c>
      <c r="K231" s="4">
        <v>161.99</v>
      </c>
      <c r="L231" s="4">
        <v>122</v>
      </c>
      <c r="M231" s="4">
        <v>83</v>
      </c>
      <c r="N231" s="4">
        <v>96</v>
      </c>
      <c r="O231" s="4">
        <v>63</v>
      </c>
      <c r="P231" s="4">
        <v>63.867333548271397</v>
      </c>
      <c r="Q231" s="4">
        <v>66.456154828431806</v>
      </c>
      <c r="R231" s="8"/>
      <c r="S231" s="7" t="s">
        <v>35</v>
      </c>
      <c r="T231" s="4">
        <v>435383</v>
      </c>
      <c r="U231" s="4">
        <v>877567</v>
      </c>
      <c r="V231" s="4">
        <v>2277</v>
      </c>
      <c r="W231" s="4">
        <v>122400</v>
      </c>
      <c r="X231" s="4">
        <v>198864</v>
      </c>
      <c r="Y231" s="4">
        <v>661660</v>
      </c>
      <c r="Z231" s="4">
        <v>120000</v>
      </c>
      <c r="AA231" s="4">
        <v>19443</v>
      </c>
      <c r="AB231" s="4">
        <v>99706</v>
      </c>
      <c r="AC231" s="4">
        <v>786261</v>
      </c>
      <c r="AD231" s="4">
        <v>997</v>
      </c>
      <c r="AE231" s="4">
        <v>31641</v>
      </c>
      <c r="AF231" s="4">
        <v>918605</v>
      </c>
      <c r="AG231" s="6">
        <v>43040</v>
      </c>
      <c r="AH231" s="6">
        <v>42534</v>
      </c>
      <c r="AI231" s="6">
        <v>506</v>
      </c>
      <c r="AJ231" s="6">
        <v>-44170</v>
      </c>
      <c r="AK231" s="6">
        <v>-13.1999999999999</v>
      </c>
      <c r="AL231" s="4">
        <v>1165</v>
      </c>
      <c r="AM231" s="4">
        <v>9080</v>
      </c>
      <c r="AN231" s="4">
        <v>945</v>
      </c>
      <c r="AO231" s="6">
        <v>355173</v>
      </c>
      <c r="AP231" s="6">
        <v>44082</v>
      </c>
      <c r="AQ231" s="6">
        <v>21577</v>
      </c>
      <c r="AR231" s="6">
        <v>289514</v>
      </c>
      <c r="AS231" s="6">
        <v>86.7</v>
      </c>
      <c r="AT231" s="6">
        <v>79.3</v>
      </c>
      <c r="AU231" s="6">
        <v>12.2</v>
      </c>
      <c r="AV231" s="4">
        <v>162</v>
      </c>
      <c r="AW231" s="4">
        <v>177</v>
      </c>
    </row>
    <row r="232" spans="1:49" x14ac:dyDescent="0.2">
      <c r="A232" s="1">
        <v>44495</v>
      </c>
      <c r="B232">
        <f t="shared" si="31"/>
        <v>13.14</v>
      </c>
      <c r="C232" s="1" t="s">
        <v>57</v>
      </c>
      <c r="D232" s="1" t="s">
        <v>63</v>
      </c>
      <c r="E232" s="1" t="s">
        <v>69</v>
      </c>
      <c r="F232" s="1" t="s">
        <v>48</v>
      </c>
      <c r="G232">
        <v>3633</v>
      </c>
      <c r="H232" s="4">
        <v>85.73</v>
      </c>
      <c r="I232" s="4">
        <v>111</v>
      </c>
      <c r="J232" s="4">
        <v>53</v>
      </c>
      <c r="K232" s="4">
        <v>157.11000000000001</v>
      </c>
      <c r="L232" s="4">
        <v>112</v>
      </c>
      <c r="M232" s="4">
        <v>83</v>
      </c>
      <c r="N232" s="4">
        <v>96</v>
      </c>
      <c r="O232" s="4">
        <v>63</v>
      </c>
      <c r="P232" s="4">
        <v>63.514586813347201</v>
      </c>
      <c r="Q232" s="4">
        <v>66.212731733401696</v>
      </c>
      <c r="R232" s="8"/>
      <c r="S232" s="7" t="s">
        <v>35</v>
      </c>
      <c r="T232" s="4">
        <v>410328</v>
      </c>
      <c r="U232" s="4">
        <v>861363</v>
      </c>
      <c r="V232" s="4">
        <v>2845</v>
      </c>
      <c r="W232" s="4">
        <v>122400</v>
      </c>
      <c r="X232" s="4">
        <v>198864</v>
      </c>
      <c r="Y232" s="4">
        <v>660110</v>
      </c>
      <c r="Z232" s="4">
        <v>120000</v>
      </c>
      <c r="AA232" s="4">
        <v>4789</v>
      </c>
      <c r="AB232" s="4">
        <v>106417</v>
      </c>
      <c r="AC232" s="4">
        <v>705848</v>
      </c>
      <c r="AD232" s="4">
        <v>1166</v>
      </c>
      <c r="AE232" s="4">
        <v>7179</v>
      </c>
      <c r="AF232" s="4">
        <v>820610</v>
      </c>
      <c r="AG232" s="6">
        <v>42122</v>
      </c>
      <c r="AH232" s="6">
        <v>41628</v>
      </c>
      <c r="AI232" s="6">
        <v>494</v>
      </c>
      <c r="AJ232" s="6">
        <v>-31667</v>
      </c>
      <c r="AK232" s="6">
        <v>-9.5999999999999908</v>
      </c>
      <c r="AL232" s="4">
        <v>1124</v>
      </c>
      <c r="AM232" s="4">
        <v>8973</v>
      </c>
      <c r="AN232" s="4">
        <v>952</v>
      </c>
      <c r="AO232" s="6">
        <v>328582</v>
      </c>
      <c r="AP232" s="6">
        <v>41083</v>
      </c>
      <c r="AQ232" s="6">
        <v>23031</v>
      </c>
      <c r="AR232" s="6">
        <v>264468</v>
      </c>
      <c r="AS232" s="6">
        <v>86.6</v>
      </c>
      <c r="AT232" s="6">
        <v>79.3</v>
      </c>
      <c r="AU232" s="6">
        <v>11.7</v>
      </c>
      <c r="AV232" s="4">
        <v>165</v>
      </c>
      <c r="AW232" s="4">
        <v>174</v>
      </c>
    </row>
    <row r="233" spans="1:49" x14ac:dyDescent="0.2">
      <c r="A233" s="1">
        <v>44494</v>
      </c>
      <c r="B233">
        <f t="shared" si="31"/>
        <v>13.14</v>
      </c>
      <c r="C233" s="1" t="s">
        <v>57</v>
      </c>
      <c r="D233" s="1" t="s">
        <v>63</v>
      </c>
      <c r="E233" s="1" t="s">
        <v>69</v>
      </c>
      <c r="F233" s="1" t="s">
        <v>48</v>
      </c>
      <c r="G233">
        <v>3654</v>
      </c>
      <c r="H233" s="4">
        <v>81.56</v>
      </c>
      <c r="I233" s="4">
        <v>111</v>
      </c>
      <c r="J233" s="4">
        <v>52</v>
      </c>
      <c r="K233" s="4">
        <v>142.57</v>
      </c>
      <c r="L233" s="4">
        <v>130</v>
      </c>
      <c r="M233" s="4">
        <v>84</v>
      </c>
      <c r="N233" s="4">
        <v>98</v>
      </c>
      <c r="O233" s="4">
        <v>61</v>
      </c>
      <c r="P233" s="4">
        <v>58.406652017229597</v>
      </c>
      <c r="Q233" s="4">
        <v>65.296916748374599</v>
      </c>
      <c r="R233" s="8"/>
      <c r="S233" s="7" t="s">
        <v>35</v>
      </c>
      <c r="T233" s="4">
        <v>320933</v>
      </c>
      <c r="U233" s="4">
        <v>859520</v>
      </c>
      <c r="V233" s="4">
        <v>2378</v>
      </c>
      <c r="W233" s="4">
        <v>122400</v>
      </c>
      <c r="X233" s="4">
        <v>198864</v>
      </c>
      <c r="Y233" s="4">
        <v>660210</v>
      </c>
      <c r="Z233" s="4">
        <v>120000</v>
      </c>
      <c r="AA233" s="4">
        <v>2846</v>
      </c>
      <c r="AB233" s="4">
        <v>97538</v>
      </c>
      <c r="AC233" s="4">
        <v>729970</v>
      </c>
      <c r="AD233" s="4">
        <v>1046</v>
      </c>
      <c r="AE233" s="4">
        <v>22064</v>
      </c>
      <c r="AF233" s="4">
        <v>850618</v>
      </c>
      <c r="AG233" s="6">
        <v>47455</v>
      </c>
      <c r="AH233" s="6">
        <v>46873</v>
      </c>
      <c r="AI233" s="6">
        <v>582</v>
      </c>
      <c r="AJ233" s="6">
        <v>-17066</v>
      </c>
      <c r="AK233" s="6">
        <v>-5.2</v>
      </c>
      <c r="AL233" s="4">
        <v>1068</v>
      </c>
      <c r="AM233" s="4">
        <v>8854</v>
      </c>
      <c r="AN233" s="4">
        <v>913</v>
      </c>
      <c r="AO233" s="6">
        <v>304247</v>
      </c>
      <c r="AP233" s="6">
        <v>37809</v>
      </c>
      <c r="AQ233" s="6">
        <v>21446</v>
      </c>
      <c r="AR233" s="6">
        <v>244992</v>
      </c>
      <c r="AS233" s="6">
        <v>86.5</v>
      </c>
      <c r="AT233" s="6">
        <v>79.3</v>
      </c>
      <c r="AU233" s="6">
        <v>11.2</v>
      </c>
      <c r="AV233" s="4">
        <v>134</v>
      </c>
      <c r="AW233" s="4">
        <v>149</v>
      </c>
    </row>
    <row r="234" spans="1:49" x14ac:dyDescent="0.2">
      <c r="A234" s="1">
        <v>44493</v>
      </c>
      <c r="B234">
        <v>14.45</v>
      </c>
      <c r="C234" s="1" t="s">
        <v>57</v>
      </c>
      <c r="D234" s="1" t="s">
        <v>63</v>
      </c>
      <c r="E234" s="1" t="s">
        <v>69</v>
      </c>
      <c r="F234" s="1" t="s">
        <v>48</v>
      </c>
      <c r="G234">
        <v>3667</v>
      </c>
      <c r="H234" s="4">
        <v>90.32</v>
      </c>
      <c r="I234" s="4">
        <v>101</v>
      </c>
      <c r="J234" s="4">
        <v>89</v>
      </c>
      <c r="K234" s="4">
        <v>138.03</v>
      </c>
      <c r="L234" s="4">
        <v>118</v>
      </c>
      <c r="M234" s="4">
        <v>84</v>
      </c>
      <c r="N234" s="4">
        <v>91</v>
      </c>
      <c r="O234" s="4">
        <v>77</v>
      </c>
      <c r="P234" s="4">
        <v>83.839581922527103</v>
      </c>
      <c r="Q234" s="4">
        <v>86.674570365319894</v>
      </c>
      <c r="R234" s="8"/>
      <c r="S234" s="7" t="s">
        <v>35</v>
      </c>
      <c r="T234" s="4">
        <v>340870</v>
      </c>
      <c r="U234" s="4">
        <v>859325</v>
      </c>
      <c r="V234" s="4">
        <v>199</v>
      </c>
      <c r="W234" s="4">
        <v>122400</v>
      </c>
      <c r="X234" s="4">
        <v>198864</v>
      </c>
      <c r="Y234" s="4">
        <v>658110</v>
      </c>
      <c r="Z234" s="4">
        <v>120000</v>
      </c>
      <c r="AA234" s="4">
        <v>4751</v>
      </c>
      <c r="AB234" s="4">
        <v>66916</v>
      </c>
      <c r="AC234" s="4">
        <v>710798</v>
      </c>
      <c r="AD234" s="4">
        <v>199</v>
      </c>
      <c r="AE234" s="4">
        <v>11185</v>
      </c>
      <c r="AF234" s="4">
        <v>789098</v>
      </c>
      <c r="AG234" s="6">
        <v>35760</v>
      </c>
      <c r="AH234" s="6">
        <v>35362</v>
      </c>
      <c r="AI234" s="6">
        <v>398</v>
      </c>
      <c r="AJ234" s="6">
        <v>663</v>
      </c>
      <c r="AK234" s="6">
        <v>0.2</v>
      </c>
      <c r="AL234" s="4">
        <v>972</v>
      </c>
      <c r="AM234" s="4">
        <v>8530</v>
      </c>
      <c r="AN234" s="4">
        <v>885</v>
      </c>
      <c r="AO234" s="6">
        <v>214334</v>
      </c>
      <c r="AP234" s="6">
        <v>25747</v>
      </c>
      <c r="AQ234" s="6">
        <v>18082</v>
      </c>
      <c r="AR234" s="6">
        <v>170505</v>
      </c>
      <c r="AS234" s="6">
        <v>86.4</v>
      </c>
      <c r="AT234" s="6">
        <v>79.2</v>
      </c>
      <c r="AU234" s="6">
        <v>10.8</v>
      </c>
      <c r="AV234" s="4">
        <v>152</v>
      </c>
      <c r="AW234" s="4">
        <v>166</v>
      </c>
    </row>
    <row r="235" spans="1:49" x14ac:dyDescent="0.2">
      <c r="A235" s="1">
        <v>44492</v>
      </c>
      <c r="B235">
        <f>B234</f>
        <v>14.45</v>
      </c>
      <c r="C235" s="1" t="s">
        <v>57</v>
      </c>
      <c r="D235" s="1" t="s">
        <v>63</v>
      </c>
      <c r="E235" s="1" t="s">
        <v>69</v>
      </c>
      <c r="F235" s="1" t="s">
        <v>48</v>
      </c>
      <c r="G235">
        <v>3658</v>
      </c>
      <c r="H235" s="4">
        <v>99.36</v>
      </c>
      <c r="I235" s="4">
        <v>102</v>
      </c>
      <c r="J235" s="4">
        <v>88</v>
      </c>
      <c r="K235" s="4">
        <v>197.47</v>
      </c>
      <c r="L235" s="4">
        <v>91</v>
      </c>
      <c r="M235" s="4">
        <v>79</v>
      </c>
      <c r="N235" s="4">
        <v>93</v>
      </c>
      <c r="O235" s="4">
        <v>76</v>
      </c>
      <c r="P235" s="4">
        <v>75.280376903127504</v>
      </c>
      <c r="Q235" s="4">
        <v>79.629318023107103</v>
      </c>
      <c r="R235" s="8"/>
      <c r="S235" s="7" t="s">
        <v>35</v>
      </c>
      <c r="T235" s="4">
        <v>367911</v>
      </c>
      <c r="U235" s="4">
        <v>863441</v>
      </c>
      <c r="V235" s="4">
        <v>446</v>
      </c>
      <c r="W235" s="4">
        <v>122400</v>
      </c>
      <c r="X235" s="4">
        <v>198864</v>
      </c>
      <c r="Y235" s="4">
        <v>659390</v>
      </c>
      <c r="Z235" s="4">
        <v>120000</v>
      </c>
      <c r="AA235" s="4">
        <v>7587</v>
      </c>
      <c r="AB235" s="4">
        <v>71784</v>
      </c>
      <c r="AC235" s="4">
        <v>620210</v>
      </c>
      <c r="AD235" s="4">
        <v>446</v>
      </c>
      <c r="AE235" s="4">
        <v>10013</v>
      </c>
      <c r="AF235" s="4">
        <v>702453</v>
      </c>
      <c r="AG235" s="6">
        <v>35098</v>
      </c>
      <c r="AH235" s="6">
        <v>34715</v>
      </c>
      <c r="AI235" s="6">
        <v>383</v>
      </c>
      <c r="AJ235" s="6">
        <v>15988</v>
      </c>
      <c r="AK235" s="6">
        <v>5.0999999999999899</v>
      </c>
      <c r="AL235" s="4">
        <v>916</v>
      </c>
      <c r="AM235" s="4">
        <v>8361</v>
      </c>
      <c r="AN235" s="4">
        <v>869</v>
      </c>
      <c r="AO235" s="6">
        <v>440764</v>
      </c>
      <c r="AP235" s="6">
        <v>40092</v>
      </c>
      <c r="AQ235" s="6">
        <v>30243</v>
      </c>
      <c r="AR235" s="6">
        <v>370429</v>
      </c>
      <c r="AS235" s="6">
        <v>86.4</v>
      </c>
      <c r="AT235" s="6">
        <v>79.2</v>
      </c>
      <c r="AU235" s="6">
        <v>10.5</v>
      </c>
      <c r="AV235" s="4">
        <v>165</v>
      </c>
      <c r="AW235" s="4">
        <v>171</v>
      </c>
    </row>
    <row r="236" spans="1:49" x14ac:dyDescent="0.2">
      <c r="A236" s="1">
        <v>44491</v>
      </c>
      <c r="B236">
        <f t="shared" ref="B236:B240" si="32">B235</f>
        <v>14.45</v>
      </c>
      <c r="C236" s="1" t="s">
        <v>57</v>
      </c>
      <c r="D236" s="1" t="s">
        <v>63</v>
      </c>
      <c r="E236" s="1" t="s">
        <v>69</v>
      </c>
      <c r="F236" s="1" t="s">
        <v>48</v>
      </c>
      <c r="G236">
        <v>3657</v>
      </c>
      <c r="H236" s="4">
        <v>85.52</v>
      </c>
      <c r="I236" s="4">
        <v>109</v>
      </c>
      <c r="J236" s="4">
        <v>61</v>
      </c>
      <c r="K236" s="4">
        <v>164.07</v>
      </c>
      <c r="L236" s="4">
        <v>98</v>
      </c>
      <c r="M236" s="4">
        <v>78</v>
      </c>
      <c r="N236" s="4">
        <v>97</v>
      </c>
      <c r="O236" s="4">
        <v>65</v>
      </c>
      <c r="P236" s="4">
        <v>61.807287109021303</v>
      </c>
      <c r="Q236" s="4">
        <v>74.212041445405006</v>
      </c>
      <c r="R236" s="8"/>
      <c r="S236" s="7" t="s">
        <v>35</v>
      </c>
      <c r="T236" s="4">
        <v>467919</v>
      </c>
      <c r="U236" s="4">
        <v>863901</v>
      </c>
      <c r="V236" s="4">
        <v>3846</v>
      </c>
      <c r="W236" s="4">
        <v>122400</v>
      </c>
      <c r="X236" s="4">
        <v>198864</v>
      </c>
      <c r="Y236" s="4">
        <v>662970</v>
      </c>
      <c r="Z236" s="4">
        <v>120000</v>
      </c>
      <c r="AA236" s="4">
        <v>4467</v>
      </c>
      <c r="AB236" s="4">
        <v>89970</v>
      </c>
      <c r="AC236" s="4">
        <v>811267</v>
      </c>
      <c r="AD236" s="4">
        <v>1180</v>
      </c>
      <c r="AE236" s="4">
        <v>15876</v>
      </c>
      <c r="AF236" s="4">
        <v>918293</v>
      </c>
      <c r="AG236" s="6">
        <v>40660</v>
      </c>
      <c r="AH236" s="6">
        <v>40178</v>
      </c>
      <c r="AI236" s="6">
        <v>482</v>
      </c>
      <c r="AJ236" s="6">
        <v>24345</v>
      </c>
      <c r="AK236" s="6">
        <v>8</v>
      </c>
      <c r="AL236" s="4">
        <v>949</v>
      </c>
      <c r="AM236" s="4">
        <v>8366</v>
      </c>
      <c r="AN236" s="4">
        <v>889</v>
      </c>
      <c r="AO236" s="6">
        <v>371105</v>
      </c>
      <c r="AP236" s="6">
        <v>46250</v>
      </c>
      <c r="AQ236" s="6">
        <v>26170</v>
      </c>
      <c r="AR236" s="6">
        <v>298685</v>
      </c>
      <c r="AS236" s="6">
        <v>86.3</v>
      </c>
      <c r="AT236" s="6">
        <v>79.099999999999994</v>
      </c>
      <c r="AU236" s="6">
        <v>9.8000000000000007</v>
      </c>
      <c r="AV236" s="4">
        <v>136</v>
      </c>
      <c r="AW236" s="4">
        <v>150</v>
      </c>
    </row>
    <row r="237" spans="1:49" x14ac:dyDescent="0.2">
      <c r="A237" s="1">
        <v>44490</v>
      </c>
      <c r="B237">
        <f t="shared" si="32"/>
        <v>14.45</v>
      </c>
      <c r="C237" s="1" t="s">
        <v>57</v>
      </c>
      <c r="D237" s="1" t="s">
        <v>63</v>
      </c>
      <c r="E237" s="1" t="s">
        <v>69</v>
      </c>
      <c r="F237" s="1" t="s">
        <v>48</v>
      </c>
      <c r="G237">
        <v>3654</v>
      </c>
      <c r="H237" s="4">
        <v>87.52</v>
      </c>
      <c r="I237" s="4">
        <v>109</v>
      </c>
      <c r="J237" s="4">
        <v>62</v>
      </c>
      <c r="K237" s="4">
        <v>141.22</v>
      </c>
      <c r="L237" s="4">
        <v>111</v>
      </c>
      <c r="M237" s="4">
        <v>80</v>
      </c>
      <c r="N237" s="4">
        <v>97</v>
      </c>
      <c r="O237" s="4">
        <v>63</v>
      </c>
      <c r="P237" s="4">
        <v>63.984011661432703</v>
      </c>
      <c r="Q237" s="4">
        <v>75.306849792194797</v>
      </c>
      <c r="R237" s="8"/>
      <c r="S237" s="7" t="s">
        <v>35</v>
      </c>
      <c r="T237" s="4">
        <v>467432</v>
      </c>
      <c r="U237" s="4">
        <v>866695</v>
      </c>
      <c r="V237" s="4">
        <v>1991</v>
      </c>
      <c r="W237" s="4">
        <v>122400</v>
      </c>
      <c r="X237" s="4">
        <v>198817</v>
      </c>
      <c r="Y237" s="4">
        <v>663910</v>
      </c>
      <c r="Z237" s="4">
        <v>120000</v>
      </c>
      <c r="AA237" s="4">
        <v>6368</v>
      </c>
      <c r="AB237" s="4">
        <v>94418</v>
      </c>
      <c r="AC237" s="4">
        <v>899469</v>
      </c>
      <c r="AD237" s="4">
        <v>1210</v>
      </c>
      <c r="AE237" s="4">
        <v>19092</v>
      </c>
      <c r="AF237" s="4">
        <v>1014189</v>
      </c>
      <c r="AG237" s="6">
        <v>45193</v>
      </c>
      <c r="AH237" s="6">
        <v>44652</v>
      </c>
      <c r="AI237" s="6">
        <v>541</v>
      </c>
      <c r="AJ237" s="6">
        <v>35190</v>
      </c>
      <c r="AK237" s="6">
        <v>11.8</v>
      </c>
      <c r="AL237" s="4">
        <v>988</v>
      </c>
      <c r="AM237" s="4">
        <v>8381</v>
      </c>
      <c r="AN237" s="4">
        <v>892</v>
      </c>
      <c r="AO237" s="6">
        <v>365161</v>
      </c>
      <c r="AP237" s="6">
        <v>48732</v>
      </c>
      <c r="AQ237" s="6">
        <v>26828</v>
      </c>
      <c r="AS237" s="6">
        <v>86.3</v>
      </c>
      <c r="AT237" s="6">
        <v>79.099999999999994</v>
      </c>
      <c r="AU237" s="6">
        <v>9.3000000000000007</v>
      </c>
      <c r="AV237" s="4">
        <v>157</v>
      </c>
      <c r="AW237" s="4">
        <v>164</v>
      </c>
    </row>
    <row r="238" spans="1:49" x14ac:dyDescent="0.2">
      <c r="A238" s="1">
        <v>44489</v>
      </c>
      <c r="B238">
        <f t="shared" si="32"/>
        <v>14.45</v>
      </c>
      <c r="C238" s="1" t="s">
        <v>57</v>
      </c>
      <c r="D238" s="1" t="s">
        <v>63</v>
      </c>
      <c r="E238" s="1" t="s">
        <v>69</v>
      </c>
      <c r="F238" s="1" t="s">
        <v>48</v>
      </c>
      <c r="G238">
        <v>3646</v>
      </c>
      <c r="H238" s="4">
        <v>85.2</v>
      </c>
      <c r="I238" s="4">
        <v>110</v>
      </c>
      <c r="J238" s="4">
        <v>61</v>
      </c>
      <c r="K238" s="4">
        <v>136.38999999999999</v>
      </c>
      <c r="L238" s="4">
        <v>103</v>
      </c>
      <c r="M238" s="4">
        <v>77</v>
      </c>
      <c r="N238" s="4">
        <v>95</v>
      </c>
      <c r="O238" s="4">
        <v>63</v>
      </c>
      <c r="P238" s="4">
        <v>62.009712246043399</v>
      </c>
      <c r="Q238" s="4">
        <v>74.938701555934202</v>
      </c>
      <c r="R238" s="8"/>
      <c r="S238" s="7" t="s">
        <v>35</v>
      </c>
      <c r="T238" s="4">
        <v>482770</v>
      </c>
      <c r="U238" s="4">
        <v>862727</v>
      </c>
      <c r="V238" s="4">
        <v>3189</v>
      </c>
      <c r="W238" s="4">
        <v>122400</v>
      </c>
      <c r="X238" s="4">
        <v>198817</v>
      </c>
      <c r="Y238" s="4">
        <v>663910</v>
      </c>
      <c r="Z238" s="4">
        <v>120000</v>
      </c>
      <c r="AA238" s="4">
        <v>2400</v>
      </c>
      <c r="AB238" s="4">
        <v>99471</v>
      </c>
      <c r="AC238" s="4">
        <v>991889</v>
      </c>
      <c r="AD238" s="4">
        <v>1345</v>
      </c>
      <c r="AE238" s="4">
        <v>17306</v>
      </c>
      <c r="AF238" s="4">
        <v>1110011</v>
      </c>
      <c r="AG238" s="6">
        <v>51657</v>
      </c>
      <c r="AH238" s="6">
        <v>51098</v>
      </c>
      <c r="AI238" s="6">
        <v>559</v>
      </c>
      <c r="AJ238" s="6">
        <v>44366</v>
      </c>
      <c r="AK238" s="6">
        <v>15.3</v>
      </c>
      <c r="AL238" s="4">
        <v>1113</v>
      </c>
      <c r="AM238" s="4">
        <v>8286</v>
      </c>
      <c r="AN238" s="4">
        <v>872</v>
      </c>
      <c r="AO238" s="6">
        <v>332539</v>
      </c>
      <c r="AP238" s="6">
        <v>49080</v>
      </c>
      <c r="AQ238" s="6">
        <v>26365</v>
      </c>
      <c r="AS238" s="6">
        <v>86.2</v>
      </c>
      <c r="AT238" s="6">
        <v>79</v>
      </c>
      <c r="AU238" s="6">
        <v>8.3000000000000007</v>
      </c>
      <c r="AV238" s="4">
        <v>155</v>
      </c>
      <c r="AW238" s="4">
        <v>154</v>
      </c>
    </row>
    <row r="239" spans="1:49" x14ac:dyDescent="0.2">
      <c r="A239" s="1">
        <v>44488</v>
      </c>
      <c r="B239">
        <f t="shared" si="32"/>
        <v>14.45</v>
      </c>
      <c r="C239" s="1" t="s">
        <v>57</v>
      </c>
      <c r="D239" s="1" t="s">
        <v>63</v>
      </c>
      <c r="E239" s="1" t="s">
        <v>69</v>
      </c>
      <c r="F239" s="1" t="s">
        <v>48</v>
      </c>
      <c r="G239">
        <v>3641</v>
      </c>
      <c r="H239" s="4">
        <v>78.59</v>
      </c>
      <c r="I239" s="4">
        <v>110</v>
      </c>
      <c r="J239" s="4">
        <v>60</v>
      </c>
      <c r="K239" s="4">
        <v>129.65</v>
      </c>
      <c r="L239" s="4">
        <v>103</v>
      </c>
      <c r="M239" s="4">
        <v>75</v>
      </c>
      <c r="N239" s="4">
        <v>95</v>
      </c>
      <c r="O239" s="4">
        <v>63</v>
      </c>
      <c r="P239" s="4">
        <v>61.110305142284197</v>
      </c>
      <c r="Q239" s="4">
        <v>74.867750837168501</v>
      </c>
      <c r="R239" s="8"/>
      <c r="S239" s="7" t="s">
        <v>35</v>
      </c>
      <c r="T239" s="4">
        <v>427268</v>
      </c>
      <c r="U239" s="4">
        <v>871307</v>
      </c>
      <c r="V239" s="4">
        <v>2047</v>
      </c>
      <c r="W239" s="4">
        <v>122400</v>
      </c>
      <c r="X239" s="4">
        <v>198817</v>
      </c>
      <c r="Y239" s="4">
        <v>672490</v>
      </c>
      <c r="Z239" s="4">
        <v>120000</v>
      </c>
      <c r="AA239" s="4">
        <v>2400</v>
      </c>
      <c r="AB239" s="4">
        <v>110066</v>
      </c>
      <c r="AC239" s="4">
        <v>767607</v>
      </c>
      <c r="AD239" s="4">
        <v>1105</v>
      </c>
      <c r="AE239" s="4">
        <v>942</v>
      </c>
      <c r="AF239" s="4">
        <v>879720</v>
      </c>
      <c r="AG239" s="6">
        <v>52514</v>
      </c>
      <c r="AH239" s="6">
        <v>51894</v>
      </c>
      <c r="AI239" s="6">
        <v>620</v>
      </c>
      <c r="AJ239" s="6">
        <v>48995</v>
      </c>
      <c r="AK239" s="6">
        <v>17.5</v>
      </c>
      <c r="AL239" s="4">
        <v>1114</v>
      </c>
      <c r="AM239" s="4">
        <v>8031</v>
      </c>
      <c r="AN239" s="4">
        <v>851</v>
      </c>
      <c r="AO239" s="6">
        <v>307744</v>
      </c>
      <c r="AP239" s="6">
        <v>42902</v>
      </c>
      <c r="AQ239" s="6">
        <v>32767</v>
      </c>
      <c r="AS239" s="6">
        <v>86.1</v>
      </c>
      <c r="AT239" s="6">
        <v>79</v>
      </c>
      <c r="AU239" s="6">
        <v>7.8</v>
      </c>
      <c r="AV239" s="4">
        <v>129</v>
      </c>
      <c r="AW239" s="4">
        <v>142</v>
      </c>
    </row>
    <row r="240" spans="1:49" x14ac:dyDescent="0.2">
      <c r="A240" s="1">
        <v>44487</v>
      </c>
      <c r="B240">
        <f t="shared" si="32"/>
        <v>14.45</v>
      </c>
      <c r="C240" s="1" t="s">
        <v>57</v>
      </c>
      <c r="D240" s="1" t="s">
        <v>63</v>
      </c>
      <c r="E240" s="1" t="s">
        <v>69</v>
      </c>
      <c r="F240" s="1" t="s">
        <v>48</v>
      </c>
      <c r="G240">
        <v>3622</v>
      </c>
      <c r="H240" s="4">
        <v>71.58</v>
      </c>
      <c r="I240" s="4">
        <v>110</v>
      </c>
      <c r="J240" s="4">
        <v>59</v>
      </c>
      <c r="K240" s="4">
        <v>121.54</v>
      </c>
      <c r="L240" s="4">
        <v>109</v>
      </c>
      <c r="M240" s="4">
        <v>79</v>
      </c>
      <c r="N240" s="4">
        <v>96</v>
      </c>
      <c r="O240" s="4">
        <v>62</v>
      </c>
      <c r="P240" s="4">
        <v>58.719533708561698</v>
      </c>
      <c r="Q240" s="4">
        <v>74.201330047265898</v>
      </c>
      <c r="R240" s="8"/>
      <c r="S240" s="7" t="s">
        <v>35</v>
      </c>
      <c r="T240" s="4">
        <v>299850</v>
      </c>
      <c r="U240" s="4">
        <v>866597</v>
      </c>
      <c r="V240" s="4">
        <v>1029</v>
      </c>
      <c r="W240" s="4">
        <v>122400</v>
      </c>
      <c r="X240" s="4">
        <v>198817</v>
      </c>
      <c r="Y240" s="4">
        <v>667780</v>
      </c>
      <c r="Z240" s="4">
        <v>120000</v>
      </c>
      <c r="AA240" s="4">
        <v>2400</v>
      </c>
      <c r="AB240" s="4">
        <v>98495</v>
      </c>
      <c r="AC240" s="4">
        <v>835547</v>
      </c>
      <c r="AD240" s="4">
        <v>736</v>
      </c>
      <c r="AE240" s="4">
        <v>293</v>
      </c>
      <c r="AF240" s="4">
        <v>935071</v>
      </c>
      <c r="AG240" s="6">
        <v>57736</v>
      </c>
      <c r="AH240" s="6">
        <v>57032</v>
      </c>
      <c r="AI240" s="6">
        <v>704</v>
      </c>
      <c r="AJ240" s="6">
        <v>53827</v>
      </c>
      <c r="AK240" s="6">
        <v>19.8</v>
      </c>
      <c r="AL240" s="4">
        <v>1090</v>
      </c>
      <c r="AM240" s="4">
        <v>7881</v>
      </c>
      <c r="AN240" s="4">
        <v>826</v>
      </c>
      <c r="AO240" s="6">
        <v>241456</v>
      </c>
      <c r="AP240" s="6">
        <v>39672</v>
      </c>
      <c r="AQ240" s="6">
        <v>23579</v>
      </c>
      <c r="AS240" s="6">
        <v>86</v>
      </c>
      <c r="AT240" s="6">
        <v>78.900000000000006</v>
      </c>
      <c r="AU240" s="6">
        <v>7.4</v>
      </c>
      <c r="AV240" s="4">
        <v>127</v>
      </c>
      <c r="AW240" s="4">
        <v>139</v>
      </c>
    </row>
    <row r="241" spans="1:49" x14ac:dyDescent="0.2">
      <c r="A241" s="1">
        <v>44486</v>
      </c>
      <c r="B241">
        <v>14.08</v>
      </c>
      <c r="C241" s="1" t="s">
        <v>57</v>
      </c>
      <c r="D241" s="1" t="s">
        <v>63</v>
      </c>
      <c r="E241" s="1" t="s">
        <v>69</v>
      </c>
      <c r="F241" s="1" t="s">
        <v>48</v>
      </c>
      <c r="G241">
        <v>3614</v>
      </c>
      <c r="H241" s="4">
        <v>92.12</v>
      </c>
      <c r="I241" s="4">
        <v>102</v>
      </c>
      <c r="J241" s="4">
        <v>90</v>
      </c>
      <c r="K241" s="4">
        <v>133.66</v>
      </c>
      <c r="L241" s="4">
        <v>111</v>
      </c>
      <c r="M241" s="4">
        <v>82</v>
      </c>
      <c r="N241" s="4">
        <v>91</v>
      </c>
      <c r="O241" s="4">
        <v>75</v>
      </c>
      <c r="P241" s="4">
        <v>83.569911008050994</v>
      </c>
      <c r="Q241" s="4">
        <v>84.8485585078529</v>
      </c>
      <c r="R241" s="8"/>
      <c r="S241" s="7" t="s">
        <v>35</v>
      </c>
      <c r="T241" s="4">
        <v>360862</v>
      </c>
      <c r="U241" s="4">
        <v>862157</v>
      </c>
      <c r="V241" s="4">
        <v>216</v>
      </c>
      <c r="W241" s="4">
        <v>122400</v>
      </c>
      <c r="X241" s="4">
        <v>198817</v>
      </c>
      <c r="Y241" s="4">
        <v>663340</v>
      </c>
      <c r="Z241" s="4">
        <v>120000</v>
      </c>
      <c r="AA241" s="4">
        <v>2400</v>
      </c>
      <c r="AB241" s="4">
        <v>74962</v>
      </c>
      <c r="AC241" s="4">
        <v>907627</v>
      </c>
      <c r="AD241" s="4">
        <v>216</v>
      </c>
      <c r="AE241" s="4">
        <v>0</v>
      </c>
      <c r="AF241" s="4">
        <v>982805</v>
      </c>
      <c r="AG241" s="6">
        <v>43747</v>
      </c>
      <c r="AH241" s="6">
        <v>43302</v>
      </c>
      <c r="AI241" s="6">
        <v>445</v>
      </c>
      <c r="AJ241" s="6">
        <v>52940</v>
      </c>
      <c r="AK241" s="6">
        <v>20</v>
      </c>
      <c r="AL241" s="4">
        <v>974</v>
      </c>
      <c r="AM241" s="4">
        <v>7512</v>
      </c>
      <c r="AN241" s="4">
        <v>819</v>
      </c>
      <c r="AO241" s="6">
        <v>153134</v>
      </c>
      <c r="AP241" s="6">
        <v>17837</v>
      </c>
      <c r="AQ241" s="6">
        <v>17265</v>
      </c>
      <c r="AS241" s="6">
        <v>85.9</v>
      </c>
      <c r="AT241" s="6">
        <v>78.900000000000006</v>
      </c>
      <c r="AU241" s="6">
        <v>7.1</v>
      </c>
      <c r="AV241" s="4">
        <v>129</v>
      </c>
      <c r="AW241" s="4">
        <v>139</v>
      </c>
    </row>
    <row r="242" spans="1:49" x14ac:dyDescent="0.2">
      <c r="A242" s="1">
        <v>44485</v>
      </c>
      <c r="B242">
        <f>B241</f>
        <v>14.08</v>
      </c>
      <c r="C242" s="1" t="s">
        <v>57</v>
      </c>
      <c r="D242" s="1" t="s">
        <v>63</v>
      </c>
      <c r="E242" s="1" t="s">
        <v>69</v>
      </c>
      <c r="F242" s="1" t="s">
        <v>48</v>
      </c>
      <c r="G242">
        <v>3613</v>
      </c>
      <c r="H242" s="4">
        <v>97.49</v>
      </c>
      <c r="I242" s="4">
        <v>102</v>
      </c>
      <c r="J242" s="4">
        <v>88</v>
      </c>
      <c r="K242" s="4">
        <v>195.57</v>
      </c>
      <c r="L242" s="4">
        <v>89</v>
      </c>
      <c r="M242" s="4">
        <v>77</v>
      </c>
      <c r="N242" s="4">
        <v>92</v>
      </c>
      <c r="O242" s="4">
        <v>73</v>
      </c>
      <c r="P242" s="4">
        <v>75.5250013639412</v>
      </c>
      <c r="Q242" s="4">
        <v>79.047970021360001</v>
      </c>
      <c r="R242" s="8"/>
      <c r="S242" s="7" t="s">
        <v>35</v>
      </c>
      <c r="T242" s="4">
        <v>402976</v>
      </c>
      <c r="U242" s="4">
        <v>874027</v>
      </c>
      <c r="V242" s="4">
        <v>418</v>
      </c>
      <c r="W242" s="4">
        <v>122400</v>
      </c>
      <c r="X242" s="4">
        <v>198817</v>
      </c>
      <c r="Y242" s="4">
        <v>675210</v>
      </c>
      <c r="Z242" s="4">
        <v>120000</v>
      </c>
      <c r="AA242" s="4">
        <v>2400</v>
      </c>
      <c r="AB242" s="4">
        <v>69378</v>
      </c>
      <c r="AC242" s="4">
        <v>651137</v>
      </c>
      <c r="AD242" s="4">
        <v>418</v>
      </c>
      <c r="AE242" s="4">
        <v>0</v>
      </c>
      <c r="AF242" s="4">
        <v>720933</v>
      </c>
      <c r="AG242" s="6">
        <v>37876</v>
      </c>
      <c r="AH242" s="6">
        <v>37481</v>
      </c>
      <c r="AI242" s="6">
        <v>395</v>
      </c>
      <c r="AJ242" s="6">
        <v>49960</v>
      </c>
      <c r="AK242" s="6">
        <v>19.1999999999999</v>
      </c>
      <c r="AL242" s="4">
        <v>886</v>
      </c>
      <c r="AM242" s="4">
        <v>7240</v>
      </c>
      <c r="AN242" s="4">
        <v>805</v>
      </c>
      <c r="AO242" s="6">
        <v>368682</v>
      </c>
      <c r="AP242" s="6">
        <v>28999</v>
      </c>
      <c r="AQ242" s="6">
        <v>33483</v>
      </c>
      <c r="AS242" s="6">
        <v>85.9</v>
      </c>
      <c r="AT242" s="6">
        <v>78.900000000000006</v>
      </c>
      <c r="AU242" s="6">
        <v>6.9</v>
      </c>
      <c r="AV242" s="4">
        <v>133</v>
      </c>
      <c r="AW242" s="4">
        <v>151</v>
      </c>
    </row>
    <row r="243" spans="1:49" x14ac:dyDescent="0.2">
      <c r="A243" s="1">
        <v>44484</v>
      </c>
      <c r="B243">
        <f t="shared" ref="B243:B247" si="33">B242</f>
        <v>14.08</v>
      </c>
      <c r="C243" s="1" t="s">
        <v>57</v>
      </c>
      <c r="D243" s="1" t="s">
        <v>63</v>
      </c>
      <c r="E243" s="1" t="s">
        <v>69</v>
      </c>
      <c r="F243" s="1" t="s">
        <v>48</v>
      </c>
      <c r="G243">
        <v>3622</v>
      </c>
      <c r="H243" s="4">
        <v>86.64</v>
      </c>
      <c r="I243" s="4">
        <v>109</v>
      </c>
      <c r="J243" s="4">
        <v>63</v>
      </c>
      <c r="K243" s="4">
        <v>159.13999999999999</v>
      </c>
      <c r="L243" s="4">
        <v>103</v>
      </c>
      <c r="M243" s="4">
        <v>76</v>
      </c>
      <c r="N243" s="4">
        <v>98</v>
      </c>
      <c r="O243" s="4">
        <v>65</v>
      </c>
      <c r="P243" s="4">
        <v>61.309618834996101</v>
      </c>
      <c r="Q243" s="4">
        <v>77.379408900536603</v>
      </c>
      <c r="R243" s="8"/>
      <c r="S243" s="7" t="s">
        <v>35</v>
      </c>
      <c r="T243" s="4">
        <v>479641</v>
      </c>
      <c r="U243" s="4">
        <v>877617</v>
      </c>
      <c r="V243" s="4">
        <v>3135</v>
      </c>
      <c r="W243" s="4">
        <v>122400</v>
      </c>
      <c r="X243" s="4">
        <v>198817</v>
      </c>
      <c r="Y243" s="4">
        <v>678800</v>
      </c>
      <c r="Z243" s="4">
        <v>120000</v>
      </c>
      <c r="AA243" s="4">
        <v>2400</v>
      </c>
      <c r="AB243" s="4">
        <v>89908</v>
      </c>
      <c r="AC243" s="4">
        <v>802826</v>
      </c>
      <c r="AD243" s="4">
        <v>1020</v>
      </c>
      <c r="AE243" s="4">
        <v>17187</v>
      </c>
      <c r="AF243" s="4">
        <v>910941</v>
      </c>
      <c r="AG243" s="6">
        <v>43552</v>
      </c>
      <c r="AH243" s="6">
        <v>43088</v>
      </c>
      <c r="AI243" s="6">
        <v>464</v>
      </c>
      <c r="AJ243" s="6">
        <v>50369</v>
      </c>
      <c r="AK243" s="6">
        <v>19.8</v>
      </c>
      <c r="AL243" s="4">
        <v>958</v>
      </c>
      <c r="AM243" s="4">
        <v>7214</v>
      </c>
      <c r="AN243" s="4">
        <v>791</v>
      </c>
      <c r="AO243" s="6">
        <v>291083</v>
      </c>
      <c r="AP243" s="6">
        <v>40763</v>
      </c>
      <c r="AQ243" s="6">
        <v>29432</v>
      </c>
      <c r="AS243" s="6">
        <v>85.9</v>
      </c>
      <c r="AT243" s="6">
        <v>78.8</v>
      </c>
      <c r="AU243" s="6">
        <v>6.4</v>
      </c>
      <c r="AV243" s="4">
        <v>139</v>
      </c>
      <c r="AW243" s="4">
        <v>139</v>
      </c>
    </row>
    <row r="244" spans="1:49" x14ac:dyDescent="0.2">
      <c r="A244" s="1">
        <v>44483</v>
      </c>
      <c r="B244">
        <f t="shared" si="33"/>
        <v>14.08</v>
      </c>
      <c r="C244" s="1" t="s">
        <v>57</v>
      </c>
      <c r="D244" s="1" t="s">
        <v>63</v>
      </c>
      <c r="E244" s="1" t="s">
        <v>69</v>
      </c>
      <c r="F244" s="1" t="s">
        <v>48</v>
      </c>
      <c r="G244">
        <v>3625</v>
      </c>
      <c r="H244" s="4">
        <v>90.18</v>
      </c>
      <c r="I244" s="4">
        <v>109</v>
      </c>
      <c r="J244" s="4">
        <v>63</v>
      </c>
      <c r="K244" s="4">
        <v>143.63</v>
      </c>
      <c r="L244" s="4">
        <v>114</v>
      </c>
      <c r="M244" s="4">
        <v>78</v>
      </c>
      <c r="N244" s="4">
        <v>98</v>
      </c>
      <c r="O244" s="4">
        <v>64</v>
      </c>
      <c r="P244" s="4">
        <v>63.835761617949899</v>
      </c>
      <c r="Q244" s="4">
        <v>76.875003400589804</v>
      </c>
      <c r="R244" s="8"/>
      <c r="S244" s="7" t="s">
        <v>35</v>
      </c>
      <c r="T244" s="4">
        <v>425055</v>
      </c>
      <c r="U244" s="4">
        <v>907023</v>
      </c>
      <c r="V244" s="4">
        <v>3270</v>
      </c>
      <c r="W244" s="4">
        <v>122400</v>
      </c>
      <c r="X244" s="4">
        <v>198833</v>
      </c>
      <c r="Y244" s="4">
        <v>708190</v>
      </c>
      <c r="Z244" s="4">
        <v>120000</v>
      </c>
      <c r="AA244" s="4">
        <v>2400</v>
      </c>
      <c r="AB244" s="4">
        <v>82937</v>
      </c>
      <c r="AC244" s="4">
        <v>893343</v>
      </c>
      <c r="AD244" s="4">
        <v>1357</v>
      </c>
      <c r="AE244" s="4">
        <v>1913</v>
      </c>
      <c r="AF244" s="4">
        <v>979550</v>
      </c>
      <c r="AG244" s="6">
        <v>46416</v>
      </c>
      <c r="AH244" s="6">
        <v>45870</v>
      </c>
      <c r="AI244" s="6">
        <v>546</v>
      </c>
      <c r="AJ244" s="6">
        <v>48964</v>
      </c>
      <c r="AK244" s="6">
        <v>19.6999999999999</v>
      </c>
      <c r="AL244" s="4">
        <v>914</v>
      </c>
      <c r="AM244" s="4">
        <v>7200</v>
      </c>
      <c r="AN244" s="4">
        <v>783</v>
      </c>
      <c r="AO244" s="6">
        <v>310497</v>
      </c>
      <c r="AP244" s="6">
        <v>43489</v>
      </c>
      <c r="AQ244" s="6">
        <v>27991</v>
      </c>
      <c r="AS244" s="6">
        <v>85.8</v>
      </c>
      <c r="AT244" s="6">
        <v>78.8</v>
      </c>
      <c r="AU244" s="6">
        <v>6</v>
      </c>
      <c r="AV244" s="4">
        <v>149</v>
      </c>
      <c r="AW244" s="4">
        <v>160</v>
      </c>
    </row>
    <row r="245" spans="1:49" x14ac:dyDescent="0.2">
      <c r="A245" s="1">
        <v>44482</v>
      </c>
      <c r="B245">
        <f t="shared" si="33"/>
        <v>14.08</v>
      </c>
      <c r="C245" s="1" t="s">
        <v>57</v>
      </c>
      <c r="D245" s="1" t="s">
        <v>63</v>
      </c>
      <c r="E245" s="1" t="s">
        <v>69</v>
      </c>
      <c r="F245" s="1" t="s">
        <v>48</v>
      </c>
      <c r="G245">
        <v>3613</v>
      </c>
      <c r="H245" s="4">
        <v>82.76</v>
      </c>
      <c r="I245" s="4">
        <v>109</v>
      </c>
      <c r="J245" s="4">
        <v>62</v>
      </c>
      <c r="K245" s="4">
        <v>139.47999999999999</v>
      </c>
      <c r="L245" s="4">
        <v>113</v>
      </c>
      <c r="M245" s="4">
        <v>77</v>
      </c>
      <c r="N245" s="4">
        <v>97</v>
      </c>
      <c r="O245" s="4">
        <v>63</v>
      </c>
      <c r="P245" s="4">
        <v>61.944974517147699</v>
      </c>
      <c r="Q245" s="4">
        <v>76.427065187306397</v>
      </c>
      <c r="R245" s="8"/>
      <c r="S245" s="7" t="s">
        <v>35</v>
      </c>
      <c r="T245" s="4">
        <v>427772</v>
      </c>
      <c r="U245" s="4">
        <v>906733</v>
      </c>
      <c r="V245" s="4">
        <v>3020</v>
      </c>
      <c r="W245" s="4">
        <v>122400</v>
      </c>
      <c r="X245" s="4">
        <v>198833</v>
      </c>
      <c r="Y245" s="4">
        <v>707900</v>
      </c>
      <c r="Z245" s="4">
        <v>120000</v>
      </c>
      <c r="AA245" s="4">
        <v>2400</v>
      </c>
      <c r="AB245" s="4">
        <v>99581</v>
      </c>
      <c r="AC245" s="4">
        <v>937667</v>
      </c>
      <c r="AD245" s="4">
        <v>1093</v>
      </c>
      <c r="AE245" s="4">
        <v>1927</v>
      </c>
      <c r="AF245" s="4">
        <v>1040268</v>
      </c>
      <c r="AG245" s="6">
        <v>47771</v>
      </c>
      <c r="AH245" s="6">
        <v>47236</v>
      </c>
      <c r="AI245" s="6">
        <v>535</v>
      </c>
      <c r="AJ245" s="6">
        <v>46886</v>
      </c>
      <c r="AK245" s="6">
        <v>19.399999999999899</v>
      </c>
      <c r="AL245" s="4">
        <v>930</v>
      </c>
      <c r="AM245" s="4">
        <v>7143</v>
      </c>
      <c r="AN245" s="4">
        <v>781</v>
      </c>
      <c r="AO245" s="6">
        <v>260704</v>
      </c>
      <c r="AP245" s="6">
        <v>38726</v>
      </c>
      <c r="AQ245" s="6">
        <v>29481</v>
      </c>
      <c r="AS245" s="6">
        <v>85.7</v>
      </c>
      <c r="AT245" s="6">
        <v>78.7</v>
      </c>
      <c r="AU245" s="6">
        <v>5.6</v>
      </c>
      <c r="AV245" s="4">
        <v>121</v>
      </c>
      <c r="AW245" s="4">
        <v>136</v>
      </c>
    </row>
    <row r="246" spans="1:49" x14ac:dyDescent="0.2">
      <c r="A246" s="1">
        <v>44481</v>
      </c>
      <c r="B246">
        <f t="shared" si="33"/>
        <v>14.08</v>
      </c>
      <c r="C246" s="1" t="s">
        <v>57</v>
      </c>
      <c r="D246" s="1" t="s">
        <v>63</v>
      </c>
      <c r="E246" s="1" t="s">
        <v>69</v>
      </c>
      <c r="F246" s="1" t="s">
        <v>48</v>
      </c>
      <c r="G246">
        <v>3582</v>
      </c>
      <c r="H246" s="4">
        <v>78.33</v>
      </c>
      <c r="I246" s="4">
        <v>110</v>
      </c>
      <c r="J246" s="4">
        <v>61</v>
      </c>
      <c r="K246" s="4">
        <v>133.09</v>
      </c>
      <c r="L246" s="4">
        <v>106</v>
      </c>
      <c r="M246" s="4">
        <v>77</v>
      </c>
      <c r="N246" s="4">
        <v>98</v>
      </c>
      <c r="O246" s="4">
        <v>64</v>
      </c>
      <c r="P246" s="4">
        <v>62.6702215486063</v>
      </c>
      <c r="Q246" s="4">
        <v>76.455815945728801</v>
      </c>
      <c r="R246" s="8"/>
      <c r="S246" s="7" t="s">
        <v>35</v>
      </c>
      <c r="T246" s="4">
        <v>434987</v>
      </c>
      <c r="U246" s="4">
        <v>821263</v>
      </c>
      <c r="V246" s="4">
        <v>2609</v>
      </c>
      <c r="W246" s="4">
        <v>122400</v>
      </c>
      <c r="X246" s="4">
        <v>198833</v>
      </c>
      <c r="Y246" s="4">
        <v>622430</v>
      </c>
      <c r="Z246" s="4">
        <v>120000</v>
      </c>
      <c r="AA246" s="4">
        <v>2400</v>
      </c>
      <c r="AB246" s="4">
        <v>109832</v>
      </c>
      <c r="AC246" s="4">
        <v>765648</v>
      </c>
      <c r="AD246" s="4">
        <v>799</v>
      </c>
      <c r="AE246" s="4">
        <v>1810</v>
      </c>
      <c r="AF246" s="4">
        <v>878089</v>
      </c>
      <c r="AG246" s="6">
        <v>48305</v>
      </c>
      <c r="AH246" s="6">
        <v>47712</v>
      </c>
      <c r="AI246" s="6">
        <v>593</v>
      </c>
      <c r="AJ246" s="6">
        <v>42808</v>
      </c>
      <c r="AK246" s="6">
        <v>18</v>
      </c>
      <c r="AL246" s="4">
        <v>946</v>
      </c>
      <c r="AM246" s="4">
        <v>7128</v>
      </c>
      <c r="AN246" s="4">
        <v>780</v>
      </c>
      <c r="AO246" s="6">
        <v>227111</v>
      </c>
      <c r="AP246" s="6">
        <v>36847</v>
      </c>
      <c r="AQ246" s="6">
        <v>26946</v>
      </c>
      <c r="AS246" s="6">
        <v>85.6</v>
      </c>
      <c r="AT246" s="6">
        <v>78.7</v>
      </c>
      <c r="AU246" s="6">
        <v>4.8</v>
      </c>
      <c r="AV246" s="4">
        <v>115</v>
      </c>
      <c r="AW246" s="4">
        <v>136</v>
      </c>
    </row>
    <row r="247" spans="1:49" x14ac:dyDescent="0.2">
      <c r="A247" s="1">
        <v>44480</v>
      </c>
      <c r="B247">
        <f t="shared" si="33"/>
        <v>14.08</v>
      </c>
      <c r="C247" s="1" t="s">
        <v>57</v>
      </c>
      <c r="D247" s="1" t="s">
        <v>63</v>
      </c>
      <c r="E247" s="1" t="s">
        <v>69</v>
      </c>
      <c r="F247" s="1" t="s">
        <v>48</v>
      </c>
      <c r="G247">
        <v>3578</v>
      </c>
      <c r="H247" s="4">
        <v>72.180000000000007</v>
      </c>
      <c r="I247" s="4">
        <v>110</v>
      </c>
      <c r="J247" s="4">
        <v>60</v>
      </c>
      <c r="K247" s="4">
        <v>123.47</v>
      </c>
      <c r="L247" s="4">
        <v>126</v>
      </c>
      <c r="M247" s="4">
        <v>79</v>
      </c>
      <c r="N247" s="4">
        <v>100</v>
      </c>
      <c r="O247" s="4">
        <v>62</v>
      </c>
      <c r="P247" s="4">
        <v>57.987956949753197</v>
      </c>
      <c r="Q247" s="4">
        <v>76.019257300482906</v>
      </c>
      <c r="R247" s="8"/>
      <c r="S247" s="7" t="s">
        <v>35</v>
      </c>
      <c r="T247" s="4">
        <v>312996</v>
      </c>
      <c r="U247" s="4">
        <v>831503</v>
      </c>
      <c r="V247" s="4">
        <v>1477</v>
      </c>
      <c r="W247" s="4">
        <v>122400</v>
      </c>
      <c r="X247" s="4">
        <v>198833</v>
      </c>
      <c r="Y247" s="4">
        <v>632670</v>
      </c>
      <c r="Z247" s="4">
        <v>120000</v>
      </c>
      <c r="AA247" s="4">
        <v>2400</v>
      </c>
      <c r="AB247" s="4">
        <v>97718</v>
      </c>
      <c r="AC247" s="4">
        <v>859397</v>
      </c>
      <c r="AD247" s="4">
        <v>752</v>
      </c>
      <c r="AE247" s="4">
        <v>725</v>
      </c>
      <c r="AF247" s="4">
        <v>958592</v>
      </c>
      <c r="AG247" s="6">
        <v>50288</v>
      </c>
      <c r="AH247" s="6">
        <v>49746</v>
      </c>
      <c r="AI247" s="6">
        <v>542</v>
      </c>
      <c r="AJ247" s="6">
        <v>36491</v>
      </c>
      <c r="AK247" s="6">
        <v>15.5</v>
      </c>
      <c r="AL247" s="4">
        <v>850</v>
      </c>
      <c r="AM247" s="4">
        <v>7098</v>
      </c>
      <c r="AN247" s="4">
        <v>747</v>
      </c>
      <c r="AO247" s="6">
        <v>177340</v>
      </c>
      <c r="AP247" s="6">
        <v>29172</v>
      </c>
      <c r="AQ247" s="6">
        <v>23632</v>
      </c>
      <c r="AS247" s="6">
        <v>85.6</v>
      </c>
      <c r="AT247" s="6">
        <v>78.599999999999994</v>
      </c>
      <c r="AU247" s="6">
        <v>4.5</v>
      </c>
      <c r="AV247" s="4">
        <v>126</v>
      </c>
      <c r="AW247" s="4">
        <v>137</v>
      </c>
    </row>
    <row r="248" spans="1:49" x14ac:dyDescent="0.2">
      <c r="A248" s="1">
        <v>44479</v>
      </c>
      <c r="B248">
        <v>13.94</v>
      </c>
      <c r="C248" s="1" t="s">
        <v>57</v>
      </c>
      <c r="D248" s="1" t="s">
        <v>63</v>
      </c>
      <c r="E248" s="1" t="s">
        <v>69</v>
      </c>
      <c r="F248" s="1" t="s">
        <v>48</v>
      </c>
      <c r="G248">
        <v>3569</v>
      </c>
      <c r="H248" s="4">
        <v>89.51</v>
      </c>
      <c r="I248" s="4">
        <v>102</v>
      </c>
      <c r="J248" s="4">
        <v>90</v>
      </c>
      <c r="K248" s="4">
        <v>133.02000000000001</v>
      </c>
      <c r="L248" s="4">
        <v>114</v>
      </c>
      <c r="M248" s="4">
        <v>81</v>
      </c>
      <c r="N248" s="4">
        <v>92</v>
      </c>
      <c r="O248" s="4">
        <v>76</v>
      </c>
      <c r="P248" s="4">
        <v>82.206507835532506</v>
      </c>
      <c r="Q248" s="4">
        <v>86.4069309898683</v>
      </c>
      <c r="R248" s="8"/>
      <c r="S248" s="7" t="s">
        <v>35</v>
      </c>
      <c r="T248" s="4">
        <v>338996</v>
      </c>
      <c r="U248" s="4">
        <v>900963</v>
      </c>
      <c r="V248" s="4">
        <v>121</v>
      </c>
      <c r="W248" s="4">
        <v>122400</v>
      </c>
      <c r="X248" s="4">
        <v>198833</v>
      </c>
      <c r="Y248" s="4">
        <v>702130</v>
      </c>
      <c r="Z248" s="4">
        <v>120000</v>
      </c>
      <c r="AA248" s="4">
        <v>2400</v>
      </c>
      <c r="AB248" s="4">
        <v>77747</v>
      </c>
      <c r="AC248" s="4">
        <v>889727</v>
      </c>
      <c r="AD248" s="4">
        <v>121</v>
      </c>
      <c r="AE248" s="4">
        <v>0</v>
      </c>
      <c r="AF248" s="4">
        <v>967595</v>
      </c>
      <c r="AG248" s="6">
        <v>36409</v>
      </c>
      <c r="AH248" s="6">
        <v>36018</v>
      </c>
      <c r="AI248" s="6">
        <v>391</v>
      </c>
      <c r="AJ248" s="6">
        <v>32078</v>
      </c>
      <c r="AK248" s="6">
        <v>13.8</v>
      </c>
      <c r="AL248" s="4">
        <v>735</v>
      </c>
      <c r="AM248" s="4">
        <v>6943</v>
      </c>
      <c r="AN248" s="4">
        <v>744</v>
      </c>
      <c r="AO248" s="6">
        <v>135033</v>
      </c>
      <c r="AP248" s="6">
        <v>22106</v>
      </c>
      <c r="AQ248" s="6">
        <v>19451</v>
      </c>
      <c r="AS248" s="6">
        <v>85.5</v>
      </c>
      <c r="AT248" s="6">
        <v>78.599999999999994</v>
      </c>
      <c r="AU248" s="6">
        <v>4.2</v>
      </c>
      <c r="AV248" s="4">
        <v>96</v>
      </c>
      <c r="AW248" s="4">
        <v>115</v>
      </c>
    </row>
    <row r="249" spans="1:49" x14ac:dyDescent="0.2">
      <c r="A249" s="1">
        <v>44478</v>
      </c>
      <c r="B249">
        <f>B248</f>
        <v>13.94</v>
      </c>
      <c r="C249" s="1" t="s">
        <v>57</v>
      </c>
      <c r="D249" s="1" t="s">
        <v>63</v>
      </c>
      <c r="E249" s="1" t="s">
        <v>69</v>
      </c>
      <c r="F249" s="1" t="s">
        <v>48</v>
      </c>
      <c r="G249">
        <v>3567</v>
      </c>
      <c r="H249" s="4">
        <v>96.86</v>
      </c>
      <c r="I249" s="4">
        <v>101</v>
      </c>
      <c r="J249" s="4">
        <v>89</v>
      </c>
      <c r="K249" s="4">
        <v>206.51</v>
      </c>
      <c r="L249" s="4">
        <v>109</v>
      </c>
      <c r="M249" s="4">
        <v>79</v>
      </c>
      <c r="N249" s="4">
        <v>96</v>
      </c>
      <c r="O249" s="4">
        <v>76</v>
      </c>
      <c r="P249" s="4">
        <v>74.240293356897695</v>
      </c>
      <c r="Q249" s="4">
        <v>83.267762756998494</v>
      </c>
      <c r="R249" s="8"/>
      <c r="S249" s="7" t="s">
        <v>35</v>
      </c>
      <c r="T249" s="4">
        <v>391310</v>
      </c>
      <c r="U249" s="4">
        <v>885883</v>
      </c>
      <c r="V249" s="4">
        <v>553</v>
      </c>
      <c r="W249" s="4">
        <v>122400</v>
      </c>
      <c r="X249" s="4">
        <v>198833</v>
      </c>
      <c r="Y249" s="4">
        <v>687050</v>
      </c>
      <c r="Z249" s="4">
        <v>120000</v>
      </c>
      <c r="AA249" s="4">
        <v>2400</v>
      </c>
      <c r="AB249" s="4">
        <v>68458</v>
      </c>
      <c r="AC249" s="4">
        <v>617793</v>
      </c>
      <c r="AD249" s="4">
        <v>553</v>
      </c>
      <c r="AE249" s="4">
        <v>12536</v>
      </c>
      <c r="AF249" s="4">
        <v>699340</v>
      </c>
      <c r="AG249" s="6">
        <v>32297</v>
      </c>
      <c r="AH249" s="6">
        <v>31936</v>
      </c>
      <c r="AI249" s="6">
        <v>361</v>
      </c>
      <c r="AJ249" s="6">
        <v>27707</v>
      </c>
      <c r="AK249" s="6">
        <v>11.9</v>
      </c>
      <c r="AL249" s="4">
        <v>769</v>
      </c>
      <c r="AM249" s="4">
        <v>6772</v>
      </c>
      <c r="AN249" s="4">
        <v>768</v>
      </c>
      <c r="AO249" s="6">
        <v>315681</v>
      </c>
      <c r="AP249" s="6">
        <v>31395</v>
      </c>
      <c r="AQ249" s="6">
        <v>33477</v>
      </c>
      <c r="AS249" s="6">
        <v>85.5</v>
      </c>
      <c r="AT249" s="6">
        <v>78.5</v>
      </c>
      <c r="AU249" s="6">
        <v>4.0999999999999996</v>
      </c>
      <c r="AV249" s="4">
        <v>117</v>
      </c>
      <c r="AW249" s="4">
        <v>119</v>
      </c>
    </row>
    <row r="250" spans="1:49" x14ac:dyDescent="0.2">
      <c r="A250" s="1">
        <v>44477</v>
      </c>
      <c r="B250">
        <f t="shared" ref="B250:B254" si="34">B249</f>
        <v>13.94</v>
      </c>
      <c r="C250" s="1" t="s">
        <v>57</v>
      </c>
      <c r="D250" s="1" t="s">
        <v>63</v>
      </c>
      <c r="E250" s="1" t="s">
        <v>69</v>
      </c>
      <c r="F250" s="1" t="s">
        <v>48</v>
      </c>
      <c r="G250">
        <v>3556</v>
      </c>
      <c r="H250" s="4">
        <v>83.39</v>
      </c>
      <c r="I250" s="4">
        <v>109</v>
      </c>
      <c r="J250" s="4">
        <v>62</v>
      </c>
      <c r="K250" s="4">
        <v>160.38999999999999</v>
      </c>
      <c r="L250" s="4">
        <v>103</v>
      </c>
      <c r="M250" s="4">
        <v>76</v>
      </c>
      <c r="N250" s="4">
        <v>99</v>
      </c>
      <c r="O250" s="4">
        <v>65</v>
      </c>
      <c r="P250" s="4">
        <v>60.258674079975201</v>
      </c>
      <c r="Q250" s="4">
        <v>76.954255781755705</v>
      </c>
      <c r="R250" s="8"/>
      <c r="S250" s="7" t="s">
        <v>35</v>
      </c>
      <c r="T250" s="4">
        <v>498439</v>
      </c>
      <c r="U250" s="4">
        <v>875813</v>
      </c>
      <c r="V250" s="4">
        <v>2939</v>
      </c>
      <c r="W250" s="4">
        <v>122400</v>
      </c>
      <c r="X250" s="4">
        <v>198833</v>
      </c>
      <c r="Y250" s="4">
        <v>676980</v>
      </c>
      <c r="Z250" s="4">
        <v>120000</v>
      </c>
      <c r="AA250" s="4">
        <v>2400</v>
      </c>
      <c r="AB250" s="4">
        <v>95035</v>
      </c>
      <c r="AC250" s="4">
        <v>805423</v>
      </c>
      <c r="AD250" s="4">
        <v>1227</v>
      </c>
      <c r="AE250" s="4">
        <v>16015</v>
      </c>
      <c r="AF250" s="4">
        <v>917700</v>
      </c>
      <c r="AG250" s="6">
        <v>35599</v>
      </c>
      <c r="AH250" s="6">
        <v>35180</v>
      </c>
      <c r="AI250" s="6">
        <v>419</v>
      </c>
      <c r="AJ250" s="6">
        <v>19468</v>
      </c>
      <c r="AK250" s="6">
        <v>8.3000000000000007</v>
      </c>
      <c r="AL250" s="4">
        <v>791</v>
      </c>
      <c r="AM250" s="4">
        <v>6828</v>
      </c>
      <c r="AN250" s="4">
        <v>780</v>
      </c>
      <c r="AO250" s="6">
        <v>234681</v>
      </c>
      <c r="AP250" s="6">
        <v>31685</v>
      </c>
      <c r="AQ250" s="6">
        <v>29068</v>
      </c>
      <c r="AS250" s="6">
        <v>85.4</v>
      </c>
      <c r="AT250" s="6">
        <v>78.5</v>
      </c>
      <c r="AU250" s="6">
        <v>3.7</v>
      </c>
      <c r="AV250" s="4">
        <v>120</v>
      </c>
      <c r="AW250" s="4">
        <v>122</v>
      </c>
    </row>
    <row r="251" spans="1:49" x14ac:dyDescent="0.2">
      <c r="A251" s="1">
        <v>44476</v>
      </c>
      <c r="B251">
        <f t="shared" si="34"/>
        <v>13.94</v>
      </c>
      <c r="C251" s="1" t="s">
        <v>57</v>
      </c>
      <c r="D251" s="1" t="s">
        <v>63</v>
      </c>
      <c r="E251" s="1" t="s">
        <v>69</v>
      </c>
      <c r="F251" s="1" t="s">
        <v>48</v>
      </c>
      <c r="G251">
        <v>3563</v>
      </c>
      <c r="H251" s="4">
        <v>82.72</v>
      </c>
      <c r="I251" s="4">
        <v>109</v>
      </c>
      <c r="J251" s="4">
        <v>62</v>
      </c>
      <c r="K251" s="4">
        <v>141.33000000000001</v>
      </c>
      <c r="L251" s="4">
        <v>107</v>
      </c>
      <c r="M251" s="4">
        <v>76</v>
      </c>
      <c r="N251" s="4">
        <v>98</v>
      </c>
      <c r="O251" s="4">
        <v>64</v>
      </c>
      <c r="P251" s="4">
        <v>62.3488296643445</v>
      </c>
      <c r="Q251" s="4">
        <v>76.240155727172095</v>
      </c>
      <c r="R251" s="8"/>
      <c r="S251" s="7" t="s">
        <v>35</v>
      </c>
      <c r="T251" s="4">
        <v>413155</v>
      </c>
      <c r="U251" s="4">
        <v>868549</v>
      </c>
      <c r="V251" s="4">
        <v>3192</v>
      </c>
      <c r="W251" s="4">
        <v>122400</v>
      </c>
      <c r="X251" s="4">
        <v>198819</v>
      </c>
      <c r="Y251" s="4">
        <v>669730</v>
      </c>
      <c r="Z251" s="4">
        <v>120000</v>
      </c>
      <c r="AA251" s="4">
        <v>2400</v>
      </c>
      <c r="AB251" s="4">
        <v>81700</v>
      </c>
      <c r="AC251" s="4">
        <v>864691</v>
      </c>
      <c r="AD251" s="4">
        <v>1328</v>
      </c>
      <c r="AE251" s="4">
        <v>16294</v>
      </c>
      <c r="AF251" s="4">
        <v>964013</v>
      </c>
      <c r="AG251" s="6">
        <v>38463</v>
      </c>
      <c r="AH251" s="6">
        <v>38021</v>
      </c>
      <c r="AI251" s="6">
        <v>442</v>
      </c>
      <c r="AJ251" s="6">
        <v>9875</v>
      </c>
      <c r="AK251" s="6">
        <v>4.0999999999999899</v>
      </c>
      <c r="AL251" s="4">
        <v>828</v>
      </c>
      <c r="AM251" s="4">
        <v>6849</v>
      </c>
      <c r="AN251" s="4">
        <v>808</v>
      </c>
      <c r="AO251" s="6">
        <v>239314</v>
      </c>
      <c r="AP251" s="6">
        <v>33029</v>
      </c>
      <c r="AQ251" s="6">
        <v>28656</v>
      </c>
      <c r="AS251" s="6">
        <v>85.4</v>
      </c>
      <c r="AT251" s="6">
        <v>78.400000000000006</v>
      </c>
      <c r="AU251" s="6">
        <v>3.3</v>
      </c>
      <c r="AV251" s="4">
        <v>123</v>
      </c>
      <c r="AW251" s="4">
        <v>133</v>
      </c>
    </row>
    <row r="252" spans="1:49" x14ac:dyDescent="0.2">
      <c r="A252" s="1">
        <v>44475</v>
      </c>
      <c r="B252">
        <f t="shared" si="34"/>
        <v>13.94</v>
      </c>
      <c r="C252" s="1" t="s">
        <v>57</v>
      </c>
      <c r="D252" s="1" t="s">
        <v>63</v>
      </c>
      <c r="E252" s="1" t="s">
        <v>69</v>
      </c>
      <c r="F252" s="1" t="s">
        <v>48</v>
      </c>
      <c r="G252">
        <v>3575</v>
      </c>
      <c r="H252" s="4">
        <v>80.02</v>
      </c>
      <c r="I252" s="4">
        <v>109</v>
      </c>
      <c r="J252" s="4">
        <v>61</v>
      </c>
      <c r="K252" s="4">
        <v>139.18</v>
      </c>
      <c r="L252" s="4">
        <v>118</v>
      </c>
      <c r="M252" s="4">
        <v>77</v>
      </c>
      <c r="N252" s="4">
        <v>99</v>
      </c>
      <c r="O252" s="4">
        <v>63</v>
      </c>
      <c r="P252" s="4">
        <v>60.404035928707202</v>
      </c>
      <c r="Q252" s="4">
        <v>76.904611422094007</v>
      </c>
      <c r="R252" s="8"/>
      <c r="S252" s="7" t="s">
        <v>35</v>
      </c>
      <c r="T252" s="4">
        <v>451789</v>
      </c>
      <c r="U252" s="4">
        <v>868329</v>
      </c>
      <c r="V252" s="4">
        <v>3104</v>
      </c>
      <c r="W252" s="4">
        <v>122400</v>
      </c>
      <c r="X252" s="4">
        <v>198819</v>
      </c>
      <c r="Y252" s="4">
        <v>669510</v>
      </c>
      <c r="Z252" s="4">
        <v>120000</v>
      </c>
      <c r="AA252" s="4">
        <v>2400</v>
      </c>
      <c r="AB252" s="4">
        <v>99057</v>
      </c>
      <c r="AC252" s="4">
        <v>947880</v>
      </c>
      <c r="AD252" s="4">
        <v>1210</v>
      </c>
      <c r="AE252" s="4">
        <v>21183</v>
      </c>
      <c r="AF252" s="4">
        <v>1069330</v>
      </c>
      <c r="AG252" s="6">
        <v>39256</v>
      </c>
      <c r="AH252" s="6">
        <v>38819</v>
      </c>
      <c r="AI252" s="6">
        <v>437</v>
      </c>
      <c r="AJ252" s="6">
        <v>750</v>
      </c>
      <c r="AK252" s="6">
        <v>0.29999999999999899</v>
      </c>
      <c r="AL252" s="4">
        <v>783</v>
      </c>
      <c r="AM252" s="4">
        <v>6899</v>
      </c>
      <c r="AN252" s="4">
        <v>807</v>
      </c>
      <c r="AO252" s="6">
        <v>223501</v>
      </c>
      <c r="AP252" s="6">
        <v>32828</v>
      </c>
      <c r="AQ252" s="6">
        <v>28576</v>
      </c>
      <c r="AS252" s="6">
        <v>85.3</v>
      </c>
      <c r="AT252" s="6">
        <v>78.400000000000006</v>
      </c>
      <c r="AU252" s="6">
        <v>3</v>
      </c>
      <c r="AV252" s="4">
        <v>104</v>
      </c>
      <c r="AW252" s="4">
        <v>112</v>
      </c>
    </row>
    <row r="253" spans="1:49" x14ac:dyDescent="0.2">
      <c r="A253" s="1">
        <v>44474</v>
      </c>
      <c r="B253">
        <f t="shared" si="34"/>
        <v>13.94</v>
      </c>
      <c r="C253" s="1" t="s">
        <v>57</v>
      </c>
      <c r="D253" s="1" t="s">
        <v>63</v>
      </c>
      <c r="E253" s="1" t="s">
        <v>69</v>
      </c>
      <c r="F253" s="1" t="s">
        <v>48</v>
      </c>
      <c r="G253">
        <v>3576</v>
      </c>
      <c r="H253" s="4">
        <v>73.599999999999994</v>
      </c>
      <c r="I253" s="4">
        <v>110</v>
      </c>
      <c r="J253" s="4">
        <v>59</v>
      </c>
      <c r="K253" s="4">
        <v>127.11</v>
      </c>
      <c r="L253" s="4">
        <v>95</v>
      </c>
      <c r="M253" s="4">
        <v>74</v>
      </c>
      <c r="N253" s="4">
        <v>97</v>
      </c>
      <c r="O253" s="4">
        <v>63</v>
      </c>
      <c r="P253" s="4">
        <v>59.234134027104702</v>
      </c>
      <c r="Q253" s="4">
        <v>76.105027196261702</v>
      </c>
      <c r="R253" s="8"/>
      <c r="S253" s="7" t="s">
        <v>35</v>
      </c>
      <c r="T253" s="4">
        <v>426120</v>
      </c>
      <c r="U253" s="4">
        <v>841279</v>
      </c>
      <c r="V253" s="4">
        <v>2197</v>
      </c>
      <c r="W253" s="4">
        <v>122400</v>
      </c>
      <c r="X253" s="4">
        <v>198819</v>
      </c>
      <c r="Y253" s="4">
        <v>642460</v>
      </c>
      <c r="Z253" s="4">
        <v>120000</v>
      </c>
      <c r="AA253" s="4">
        <v>2400</v>
      </c>
      <c r="AB253" s="4">
        <v>105443</v>
      </c>
      <c r="AC253" s="4">
        <v>746034</v>
      </c>
      <c r="AD253" s="4">
        <v>1102</v>
      </c>
      <c r="AE253" s="4">
        <v>1095</v>
      </c>
      <c r="AF253" s="4">
        <v>853674</v>
      </c>
      <c r="AG253" s="6">
        <v>39264</v>
      </c>
      <c r="AH253" s="6">
        <v>38796</v>
      </c>
      <c r="AI253" s="6">
        <v>468</v>
      </c>
      <c r="AJ253" s="6">
        <v>-5617</v>
      </c>
      <c r="AK253" s="6">
        <v>-2.2999999999999901</v>
      </c>
      <c r="AL253" s="4">
        <v>840</v>
      </c>
      <c r="AM253" s="4">
        <v>6914</v>
      </c>
      <c r="AN253" s="4">
        <v>800</v>
      </c>
      <c r="AO253" s="6">
        <v>226019</v>
      </c>
      <c r="AP253" s="6">
        <v>41347</v>
      </c>
      <c r="AQ253" s="6">
        <v>28572</v>
      </c>
      <c r="AS253" s="6">
        <v>85.3</v>
      </c>
      <c r="AT253" s="6">
        <v>78.3</v>
      </c>
      <c r="AU253" s="6">
        <v>2.8</v>
      </c>
      <c r="AV253" s="4">
        <v>120</v>
      </c>
      <c r="AW253" s="4">
        <v>134</v>
      </c>
    </row>
    <row r="254" spans="1:49" x14ac:dyDescent="0.2">
      <c r="A254" s="1">
        <v>44473</v>
      </c>
      <c r="B254">
        <f t="shared" si="34"/>
        <v>13.94</v>
      </c>
      <c r="C254" s="1" t="s">
        <v>57</v>
      </c>
      <c r="D254" s="1" t="s">
        <v>63</v>
      </c>
      <c r="E254" s="1" t="s">
        <v>69</v>
      </c>
      <c r="F254" s="1" t="s">
        <v>48</v>
      </c>
      <c r="G254">
        <v>3573</v>
      </c>
      <c r="H254" s="4">
        <v>66.38</v>
      </c>
      <c r="I254" s="4">
        <v>110</v>
      </c>
      <c r="J254" s="4">
        <v>59</v>
      </c>
      <c r="K254" s="4">
        <v>120.86</v>
      </c>
      <c r="L254" s="4">
        <v>110</v>
      </c>
      <c r="M254" s="4">
        <v>77</v>
      </c>
      <c r="N254" s="4">
        <v>99</v>
      </c>
      <c r="O254" s="4">
        <v>62</v>
      </c>
      <c r="P254" s="4">
        <v>57.275399876778103</v>
      </c>
      <c r="Q254" s="4">
        <v>76.188834730938197</v>
      </c>
      <c r="R254" s="8"/>
      <c r="S254" s="7" t="s">
        <v>35</v>
      </c>
      <c r="T254" s="4">
        <v>324109</v>
      </c>
      <c r="U254" s="4">
        <v>863329</v>
      </c>
      <c r="V254" s="4">
        <v>2197</v>
      </c>
      <c r="W254" s="4">
        <v>122400</v>
      </c>
      <c r="X254" s="4">
        <v>198819</v>
      </c>
      <c r="Y254" s="4">
        <v>664510</v>
      </c>
      <c r="Z254" s="4">
        <v>120000</v>
      </c>
      <c r="AA254" s="4">
        <v>2400</v>
      </c>
      <c r="AB254" s="4">
        <v>92316</v>
      </c>
      <c r="AC254" s="4">
        <v>873398</v>
      </c>
      <c r="AD254" s="4">
        <v>677</v>
      </c>
      <c r="AE254" s="4">
        <v>1520</v>
      </c>
      <c r="AF254" s="4">
        <v>967911</v>
      </c>
      <c r="AG254" s="6">
        <v>43727</v>
      </c>
      <c r="AH254" s="6">
        <v>43258</v>
      </c>
      <c r="AI254" s="6">
        <v>469</v>
      </c>
      <c r="AJ254" s="6">
        <v>-10637</v>
      </c>
      <c r="AK254" s="6">
        <v>-4.2999999999999901</v>
      </c>
      <c r="AL254" s="4">
        <v>814</v>
      </c>
      <c r="AM254" s="4">
        <v>6838</v>
      </c>
      <c r="AN254" s="4">
        <v>769</v>
      </c>
      <c r="AO254" s="6">
        <v>190885</v>
      </c>
      <c r="AP254" s="6">
        <v>37671</v>
      </c>
      <c r="AQ254" s="6">
        <v>29337</v>
      </c>
      <c r="AS254" s="6">
        <v>85.2</v>
      </c>
      <c r="AT254" s="6">
        <v>78.3</v>
      </c>
      <c r="AU254" s="6">
        <v>2.5</v>
      </c>
      <c r="AV254" s="4">
        <v>103</v>
      </c>
      <c r="AW254" s="4">
        <v>112</v>
      </c>
    </row>
    <row r="255" spans="1:49" x14ac:dyDescent="0.2">
      <c r="A255" s="1">
        <v>44472</v>
      </c>
      <c r="B255">
        <v>12.52</v>
      </c>
      <c r="C255" s="1" t="s">
        <v>57</v>
      </c>
      <c r="D255" s="1" t="s">
        <v>63</v>
      </c>
      <c r="E255" s="1" t="s">
        <v>69</v>
      </c>
      <c r="F255" s="1" t="s">
        <v>48</v>
      </c>
      <c r="G255">
        <v>3568</v>
      </c>
      <c r="H255" s="4">
        <v>93.85</v>
      </c>
      <c r="I255" s="4">
        <v>102</v>
      </c>
      <c r="J255" s="4">
        <v>90</v>
      </c>
      <c r="K255" s="4">
        <v>151.58000000000001</v>
      </c>
      <c r="L255" s="4">
        <v>126</v>
      </c>
      <c r="M255" s="4">
        <v>84</v>
      </c>
      <c r="N255" s="4">
        <v>96</v>
      </c>
      <c r="O255" s="4">
        <v>81</v>
      </c>
      <c r="P255" s="4">
        <v>95.231481671489107</v>
      </c>
      <c r="Q255" s="4">
        <v>86.2703607062667</v>
      </c>
      <c r="R255" s="8"/>
      <c r="S255" s="7" t="s">
        <v>35</v>
      </c>
      <c r="T255" s="4">
        <v>361271</v>
      </c>
      <c r="U255" s="4">
        <v>845149</v>
      </c>
      <c r="V255" s="4">
        <v>328</v>
      </c>
      <c r="W255" s="4">
        <v>122400</v>
      </c>
      <c r="X255" s="4">
        <v>198819</v>
      </c>
      <c r="Y255" s="4">
        <v>646330</v>
      </c>
      <c r="Z255" s="4">
        <v>120000</v>
      </c>
      <c r="AA255" s="4">
        <v>2400</v>
      </c>
      <c r="AB255" s="4">
        <v>72590</v>
      </c>
      <c r="AC255" s="4">
        <v>937406</v>
      </c>
      <c r="AD255" s="4">
        <v>328</v>
      </c>
      <c r="AE255" s="4">
        <v>14567</v>
      </c>
      <c r="AF255" s="4">
        <v>1024891</v>
      </c>
      <c r="AG255" s="6">
        <v>32051</v>
      </c>
      <c r="AH255" s="6">
        <v>31713</v>
      </c>
      <c r="AI255" s="6">
        <v>338</v>
      </c>
      <c r="AJ255" s="6">
        <v>-11962</v>
      </c>
      <c r="AK255" s="6">
        <v>-4.9000000000000004</v>
      </c>
      <c r="AL255" s="4">
        <v>722</v>
      </c>
      <c r="AM255" s="4">
        <v>6647</v>
      </c>
      <c r="AN255" s="4">
        <v>778</v>
      </c>
      <c r="AO255" s="6">
        <v>135173</v>
      </c>
      <c r="AP255" s="6">
        <v>24123</v>
      </c>
      <c r="AQ255" s="6">
        <v>21532</v>
      </c>
      <c r="AS255" s="6">
        <v>85.1</v>
      </c>
      <c r="AT255" s="6">
        <v>78.2</v>
      </c>
      <c r="AU255" s="6">
        <v>2.2999999999999998</v>
      </c>
      <c r="AV255" s="4">
        <v>97</v>
      </c>
      <c r="AW255" s="4">
        <v>107</v>
      </c>
    </row>
    <row r="256" spans="1:49" x14ac:dyDescent="0.2">
      <c r="A256" s="1">
        <v>44471</v>
      </c>
      <c r="B256">
        <f>B255</f>
        <v>12.52</v>
      </c>
      <c r="C256" s="1" t="s">
        <v>57</v>
      </c>
      <c r="D256" s="1" t="s">
        <v>63</v>
      </c>
      <c r="E256" s="1" t="s">
        <v>69</v>
      </c>
      <c r="F256" s="1" t="s">
        <v>48</v>
      </c>
      <c r="G256">
        <v>3572</v>
      </c>
      <c r="H256" s="4">
        <v>86.37</v>
      </c>
      <c r="I256" s="4">
        <v>104</v>
      </c>
      <c r="J256" s="4">
        <v>86</v>
      </c>
      <c r="K256" s="4">
        <v>177.88</v>
      </c>
      <c r="L256" s="4">
        <v>62</v>
      </c>
      <c r="M256" s="4">
        <v>70</v>
      </c>
      <c r="N256" s="4">
        <v>87</v>
      </c>
      <c r="O256" s="4">
        <v>72</v>
      </c>
      <c r="P256" s="4">
        <v>71.075468690998804</v>
      </c>
      <c r="Q256" s="4">
        <v>75.412131271309505</v>
      </c>
      <c r="R256" s="8"/>
      <c r="S256" s="7" t="s">
        <v>35</v>
      </c>
      <c r="T256" s="4">
        <v>400100</v>
      </c>
      <c r="U256" s="4">
        <v>830619</v>
      </c>
      <c r="V256" s="4">
        <v>530</v>
      </c>
      <c r="W256" s="4">
        <v>122400</v>
      </c>
      <c r="X256" s="4">
        <v>198819</v>
      </c>
      <c r="Y256" s="4">
        <v>631800</v>
      </c>
      <c r="Z256" s="4">
        <v>120000</v>
      </c>
      <c r="AA256" s="4">
        <v>2400</v>
      </c>
      <c r="AB256" s="4">
        <v>77531</v>
      </c>
      <c r="AC256" s="4">
        <v>634846</v>
      </c>
      <c r="AD256" s="4">
        <v>530</v>
      </c>
      <c r="AE256" s="4">
        <v>14167</v>
      </c>
      <c r="AF256" s="4">
        <v>727074</v>
      </c>
      <c r="AG256" s="6">
        <v>26309</v>
      </c>
      <c r="AH256" s="6">
        <v>26044</v>
      </c>
      <c r="AI256" s="6">
        <v>265</v>
      </c>
      <c r="AJ256" s="6">
        <v>-10969</v>
      </c>
      <c r="AK256" s="6">
        <v>-4.5</v>
      </c>
      <c r="AL256" s="4">
        <v>698</v>
      </c>
      <c r="AM256" s="4">
        <v>6490</v>
      </c>
      <c r="AN256" s="4">
        <v>764</v>
      </c>
      <c r="AO256" s="6">
        <v>259918</v>
      </c>
      <c r="AP256" s="6">
        <v>31066</v>
      </c>
      <c r="AQ256" s="6">
        <v>34391</v>
      </c>
      <c r="AS256" s="6">
        <v>85.1</v>
      </c>
      <c r="AT256" s="6">
        <v>78.2</v>
      </c>
      <c r="AU256" s="6">
        <v>2.1</v>
      </c>
      <c r="AV256" s="4">
        <v>110</v>
      </c>
      <c r="AW256" s="4">
        <v>118</v>
      </c>
    </row>
    <row r="257" spans="1:49" x14ac:dyDescent="0.2">
      <c r="A257" s="1">
        <v>44470</v>
      </c>
      <c r="B257">
        <f t="shared" ref="B257:B261" si="35">B256</f>
        <v>12.52</v>
      </c>
      <c r="C257" s="1" t="s">
        <v>57</v>
      </c>
      <c r="D257" s="1" t="s">
        <v>63</v>
      </c>
      <c r="E257" s="1" t="s">
        <v>69</v>
      </c>
      <c r="F257" s="1" t="s">
        <v>48</v>
      </c>
      <c r="G257">
        <v>3571</v>
      </c>
      <c r="H257" s="4">
        <v>80.03</v>
      </c>
      <c r="I257" s="4">
        <v>110</v>
      </c>
      <c r="J257" s="4">
        <v>61</v>
      </c>
      <c r="K257" s="4">
        <v>161.36000000000001</v>
      </c>
      <c r="L257" s="4">
        <v>98</v>
      </c>
      <c r="M257" s="4">
        <v>74</v>
      </c>
      <c r="N257" s="4">
        <v>100</v>
      </c>
      <c r="O257" s="4">
        <v>66</v>
      </c>
      <c r="P257" s="4">
        <v>59.980681003904401</v>
      </c>
      <c r="Q257" s="4">
        <v>76.714120771838907</v>
      </c>
      <c r="R257" s="8"/>
      <c r="S257" s="7" t="s">
        <v>35</v>
      </c>
      <c r="T257" s="4">
        <v>402033</v>
      </c>
      <c r="U257" s="4">
        <v>851509</v>
      </c>
      <c r="V257" s="4">
        <v>1840</v>
      </c>
      <c r="W257" s="4">
        <v>122400</v>
      </c>
      <c r="X257" s="4">
        <v>198819</v>
      </c>
      <c r="Y257" s="4">
        <v>652420</v>
      </c>
      <c r="Z257" s="4">
        <v>120000</v>
      </c>
      <c r="AA257" s="4">
        <v>2670</v>
      </c>
      <c r="AB257" s="4">
        <v>81419</v>
      </c>
      <c r="AC257" s="4">
        <v>790141</v>
      </c>
      <c r="AD257" s="4">
        <v>1075</v>
      </c>
      <c r="AE257" s="4">
        <v>1035</v>
      </c>
      <c r="AF257" s="4">
        <v>873670</v>
      </c>
      <c r="AG257" s="6">
        <v>29051</v>
      </c>
      <c r="AH257" s="6">
        <v>28742</v>
      </c>
      <c r="AI257" s="6">
        <v>309</v>
      </c>
      <c r="AJ257" s="6">
        <v>-6797</v>
      </c>
      <c r="AK257" s="6">
        <v>-2.7999999999999901</v>
      </c>
      <c r="AL257" s="4">
        <v>698</v>
      </c>
      <c r="AM257" s="4">
        <v>6639</v>
      </c>
      <c r="AN257" s="4">
        <v>805</v>
      </c>
      <c r="AO257" s="6">
        <v>226381</v>
      </c>
      <c r="AP257" s="6">
        <v>38180</v>
      </c>
      <c r="AQ257" s="6">
        <v>34289</v>
      </c>
      <c r="AS257" s="6">
        <v>85</v>
      </c>
      <c r="AT257" s="6">
        <v>78.099999999999994</v>
      </c>
      <c r="AU257" s="6">
        <v>1.8</v>
      </c>
      <c r="AV257" s="4">
        <v>129</v>
      </c>
      <c r="AW257" s="4">
        <v>139</v>
      </c>
    </row>
    <row r="258" spans="1:49" x14ac:dyDescent="0.2">
      <c r="A258" s="1">
        <v>44469</v>
      </c>
      <c r="B258">
        <f t="shared" si="35"/>
        <v>12.52</v>
      </c>
      <c r="C258" s="1" t="s">
        <v>57</v>
      </c>
      <c r="D258" s="1" t="s">
        <v>63</v>
      </c>
      <c r="E258" s="1" t="s">
        <v>69</v>
      </c>
      <c r="F258" s="1" t="s">
        <v>48</v>
      </c>
      <c r="G258">
        <v>3562</v>
      </c>
      <c r="H258" s="4">
        <v>79.37</v>
      </c>
      <c r="I258" s="4">
        <v>110</v>
      </c>
      <c r="J258" s="4">
        <v>60</v>
      </c>
      <c r="K258" s="4">
        <v>142.77000000000001</v>
      </c>
      <c r="L258" s="4">
        <v>100</v>
      </c>
      <c r="M258" s="4">
        <v>77</v>
      </c>
      <c r="N258" s="4">
        <v>98</v>
      </c>
      <c r="O258" s="4">
        <v>65</v>
      </c>
      <c r="P258" s="4">
        <v>63.0003355725216</v>
      </c>
      <c r="Q258" s="4">
        <v>77.394028519299496</v>
      </c>
      <c r="R258" s="8"/>
      <c r="S258" s="7" t="s">
        <v>35</v>
      </c>
      <c r="T258" s="4">
        <v>469033</v>
      </c>
      <c r="U258" s="4">
        <v>845987</v>
      </c>
      <c r="V258" s="4">
        <v>3042</v>
      </c>
      <c r="W258" s="4">
        <v>122400</v>
      </c>
      <c r="X258" s="4">
        <v>198805</v>
      </c>
      <c r="Y258" s="4">
        <v>646210</v>
      </c>
      <c r="Z258" s="4">
        <v>120000</v>
      </c>
      <c r="AA258" s="4">
        <v>3372</v>
      </c>
      <c r="AB258" s="4">
        <v>82476</v>
      </c>
      <c r="AC258" s="4">
        <v>938232</v>
      </c>
      <c r="AD258" s="4">
        <v>973</v>
      </c>
      <c r="AE258" s="4">
        <v>17592</v>
      </c>
      <c r="AF258" s="4">
        <v>1039273</v>
      </c>
      <c r="AG258" s="6">
        <v>32588</v>
      </c>
      <c r="AH258" s="6">
        <v>32213</v>
      </c>
      <c r="AI258" s="6">
        <v>375</v>
      </c>
      <c r="AJ258" s="6">
        <v>-1120</v>
      </c>
      <c r="AK258" s="6">
        <v>-0.5</v>
      </c>
      <c r="AL258" s="4">
        <v>705</v>
      </c>
      <c r="AM258" s="4">
        <v>6807</v>
      </c>
      <c r="AN258" s="4">
        <v>815</v>
      </c>
      <c r="AO258" s="6">
        <v>68831</v>
      </c>
      <c r="AP258" s="6">
        <v>34372</v>
      </c>
      <c r="AQ258" s="6">
        <v>34459</v>
      </c>
      <c r="AS258" s="6">
        <v>85</v>
      </c>
      <c r="AT258" s="6">
        <v>78.099999999999994</v>
      </c>
      <c r="AU258" s="6">
        <v>1.5</v>
      </c>
      <c r="AV258" s="4">
        <v>113</v>
      </c>
      <c r="AW258" s="4">
        <v>127</v>
      </c>
    </row>
    <row r="259" spans="1:49" x14ac:dyDescent="0.2">
      <c r="A259" s="1">
        <v>44468</v>
      </c>
      <c r="B259">
        <f t="shared" si="35"/>
        <v>12.52</v>
      </c>
      <c r="C259" s="1" t="s">
        <v>57</v>
      </c>
      <c r="D259" s="1" t="s">
        <v>63</v>
      </c>
      <c r="E259" s="1" t="s">
        <v>69</v>
      </c>
      <c r="F259" s="1" t="s">
        <v>48</v>
      </c>
      <c r="G259">
        <v>3559</v>
      </c>
      <c r="H259" s="4">
        <v>79.37</v>
      </c>
      <c r="I259" s="4">
        <v>110</v>
      </c>
      <c r="J259" s="4">
        <v>60</v>
      </c>
      <c r="K259" s="4">
        <v>142.26</v>
      </c>
      <c r="L259" s="4">
        <v>111</v>
      </c>
      <c r="M259" s="4">
        <v>75</v>
      </c>
      <c r="N259" s="4">
        <v>99</v>
      </c>
      <c r="O259" s="4">
        <v>64</v>
      </c>
      <c r="P259" s="4">
        <v>60.623856158234403</v>
      </c>
      <c r="Q259" s="4">
        <v>77.497180462103103</v>
      </c>
      <c r="R259" s="8"/>
      <c r="S259" s="7" t="s">
        <v>35</v>
      </c>
      <c r="T259" s="4">
        <v>456408</v>
      </c>
      <c r="U259" s="4">
        <v>835583</v>
      </c>
      <c r="V259" s="4">
        <v>2557</v>
      </c>
      <c r="W259" s="4">
        <v>122400</v>
      </c>
      <c r="X259" s="4">
        <v>198805</v>
      </c>
      <c r="Y259" s="4">
        <v>631820</v>
      </c>
      <c r="Z259" s="4">
        <v>120000</v>
      </c>
      <c r="AA259" s="4">
        <v>7358</v>
      </c>
      <c r="AB259" s="4">
        <v>103166</v>
      </c>
      <c r="AC259" s="4">
        <v>999008</v>
      </c>
      <c r="AD259" s="4">
        <v>1182</v>
      </c>
      <c r="AE259" s="4">
        <v>6333</v>
      </c>
      <c r="AF259" s="4">
        <v>1109689</v>
      </c>
      <c r="AG259" s="6">
        <v>34819</v>
      </c>
      <c r="AH259" s="6">
        <v>34424</v>
      </c>
      <c r="AI259" s="6">
        <v>395</v>
      </c>
      <c r="AJ259" s="6">
        <v>8421</v>
      </c>
      <c r="AK259" s="6">
        <v>3.6</v>
      </c>
      <c r="AL259" s="4">
        <v>810</v>
      </c>
      <c r="AM259" s="4">
        <v>6951</v>
      </c>
      <c r="AN259" s="4">
        <v>813</v>
      </c>
      <c r="AO259" s="6">
        <v>65632</v>
      </c>
      <c r="AP259" s="6">
        <v>31539</v>
      </c>
      <c r="AQ259" s="6">
        <v>34093</v>
      </c>
      <c r="AS259" s="6">
        <v>84.9</v>
      </c>
      <c r="AT259" s="6">
        <v>78</v>
      </c>
      <c r="AV259" s="4">
        <v>126</v>
      </c>
      <c r="AW259" s="4">
        <v>142</v>
      </c>
    </row>
    <row r="260" spans="1:49" x14ac:dyDescent="0.2">
      <c r="A260" s="1">
        <v>44467</v>
      </c>
      <c r="B260">
        <f t="shared" si="35"/>
        <v>12.52</v>
      </c>
      <c r="C260" s="1" t="s">
        <v>57</v>
      </c>
      <c r="D260" s="1" t="s">
        <v>63</v>
      </c>
      <c r="E260" s="1" t="s">
        <v>69</v>
      </c>
      <c r="F260" s="1" t="s">
        <v>48</v>
      </c>
      <c r="G260">
        <v>3576</v>
      </c>
      <c r="H260" s="4">
        <v>76.489999999999995</v>
      </c>
      <c r="I260" s="4">
        <v>111</v>
      </c>
      <c r="J260" s="4">
        <v>58</v>
      </c>
      <c r="K260" s="4">
        <v>131.97999999999999</v>
      </c>
      <c r="L260" s="4">
        <v>97</v>
      </c>
      <c r="M260" s="4">
        <v>72</v>
      </c>
      <c r="N260" s="4">
        <v>96</v>
      </c>
      <c r="O260" s="4">
        <v>65</v>
      </c>
      <c r="P260" s="4">
        <v>58.756693840454702</v>
      </c>
      <c r="Q260" s="4">
        <v>76.360773928399396</v>
      </c>
      <c r="R260" s="8"/>
      <c r="S260" s="7" t="s">
        <v>35</v>
      </c>
      <c r="T260" s="4">
        <v>417197</v>
      </c>
      <c r="U260" s="4">
        <v>843856</v>
      </c>
      <c r="V260" s="4">
        <v>1534</v>
      </c>
      <c r="W260" s="4">
        <v>122400</v>
      </c>
      <c r="X260" s="4">
        <v>198805</v>
      </c>
      <c r="Y260" s="4">
        <v>641890</v>
      </c>
      <c r="Z260" s="4">
        <v>120000</v>
      </c>
      <c r="AA260" s="4">
        <v>5561</v>
      </c>
      <c r="AB260" s="4">
        <v>109528</v>
      </c>
      <c r="AC260" s="4">
        <v>752659</v>
      </c>
      <c r="AD260" s="4">
        <v>865</v>
      </c>
      <c r="AE260" s="4">
        <v>3830</v>
      </c>
      <c r="AF260" s="4">
        <v>866882</v>
      </c>
      <c r="AG260" s="6">
        <v>36540</v>
      </c>
      <c r="AH260" s="6">
        <v>36099</v>
      </c>
      <c r="AI260" s="6">
        <v>441</v>
      </c>
      <c r="AJ260" s="6">
        <v>16721</v>
      </c>
      <c r="AK260" s="6">
        <v>7.4</v>
      </c>
      <c r="AL260" s="4">
        <v>783</v>
      </c>
      <c r="AM260" s="4">
        <v>7065</v>
      </c>
      <c r="AN260" s="4">
        <v>826</v>
      </c>
      <c r="AO260" s="6">
        <v>65385</v>
      </c>
      <c r="AP260" s="6">
        <v>31853</v>
      </c>
      <c r="AQ260" s="6">
        <v>33532</v>
      </c>
      <c r="AS260" s="6">
        <v>84.9</v>
      </c>
      <c r="AT260" s="6">
        <v>78</v>
      </c>
      <c r="AV260" s="4">
        <v>108</v>
      </c>
      <c r="AW260" s="4">
        <v>120</v>
      </c>
    </row>
    <row r="261" spans="1:49" x14ac:dyDescent="0.2">
      <c r="A261" s="1">
        <v>44466</v>
      </c>
      <c r="B261">
        <f t="shared" si="35"/>
        <v>12.52</v>
      </c>
      <c r="C261" s="1" t="s">
        <v>57</v>
      </c>
      <c r="D261" s="1" t="s">
        <v>63</v>
      </c>
      <c r="E261" s="1" t="s">
        <v>69</v>
      </c>
      <c r="F261" s="1" t="s">
        <v>48</v>
      </c>
      <c r="G261">
        <v>3564</v>
      </c>
      <c r="H261" s="4">
        <v>69.430000000000007</v>
      </c>
      <c r="I261" s="4">
        <v>111</v>
      </c>
      <c r="J261" s="4">
        <v>58</v>
      </c>
      <c r="K261" s="4">
        <v>130.97</v>
      </c>
      <c r="L261" s="4">
        <v>118</v>
      </c>
      <c r="M261" s="4">
        <v>75</v>
      </c>
      <c r="N261" s="4">
        <v>101</v>
      </c>
      <c r="O261" s="4">
        <v>64</v>
      </c>
      <c r="P261" s="4">
        <v>55.797785110428499</v>
      </c>
      <c r="Q261" s="4">
        <v>75.355903365931098</v>
      </c>
      <c r="R261" s="8"/>
      <c r="S261" s="7" t="s">
        <v>35</v>
      </c>
      <c r="T261" s="4">
        <v>356973</v>
      </c>
      <c r="U261" s="4">
        <v>887155</v>
      </c>
      <c r="V261" s="4">
        <v>976</v>
      </c>
      <c r="W261" s="4">
        <v>122400</v>
      </c>
      <c r="X261" s="4">
        <v>198805</v>
      </c>
      <c r="Y261" s="4">
        <v>686110</v>
      </c>
      <c r="Z261" s="4">
        <v>120000</v>
      </c>
      <c r="AA261" s="4">
        <v>4640</v>
      </c>
      <c r="AB261" s="4">
        <v>89199</v>
      </c>
      <c r="AC261" s="4">
        <v>929412</v>
      </c>
      <c r="AD261" s="4">
        <v>724</v>
      </c>
      <c r="AE261" s="4">
        <v>12534</v>
      </c>
      <c r="AF261" s="4">
        <v>1031869</v>
      </c>
      <c r="AG261" s="6">
        <v>41579</v>
      </c>
      <c r="AH261" s="6">
        <v>41081</v>
      </c>
      <c r="AI261" s="6">
        <v>498</v>
      </c>
      <c r="AJ261" s="6">
        <v>26436</v>
      </c>
      <c r="AK261" s="6">
        <v>12.0999999999999</v>
      </c>
      <c r="AL261" s="4">
        <v>782</v>
      </c>
      <c r="AM261" s="4">
        <v>7083</v>
      </c>
      <c r="AN261" s="4">
        <v>831</v>
      </c>
      <c r="AO261" s="6">
        <v>58096</v>
      </c>
      <c r="AP261" s="6">
        <v>24919</v>
      </c>
      <c r="AQ261" s="6">
        <v>33177</v>
      </c>
      <c r="AS261" s="6">
        <v>84.8</v>
      </c>
      <c r="AT261" s="6">
        <v>77.900000000000006</v>
      </c>
      <c r="AV261" s="4">
        <v>116</v>
      </c>
      <c r="AW261" s="4">
        <v>125</v>
      </c>
    </row>
    <row r="262" spans="1:49" x14ac:dyDescent="0.2">
      <c r="A262" s="1">
        <v>44465</v>
      </c>
      <c r="B262">
        <v>15.33</v>
      </c>
      <c r="C262" s="1" t="s">
        <v>57</v>
      </c>
      <c r="D262" s="1" t="s">
        <v>63</v>
      </c>
      <c r="E262" s="1" t="s">
        <v>69</v>
      </c>
      <c r="F262" s="1" t="s">
        <v>48</v>
      </c>
      <c r="G262">
        <v>3586</v>
      </c>
      <c r="H262" s="4">
        <v>96.27</v>
      </c>
      <c r="I262" s="4">
        <v>101</v>
      </c>
      <c r="J262" s="4">
        <v>91</v>
      </c>
      <c r="K262" s="4">
        <v>146.41</v>
      </c>
      <c r="L262" s="4">
        <v>134</v>
      </c>
      <c r="M262" s="4">
        <v>80</v>
      </c>
      <c r="N262" s="4">
        <v>94</v>
      </c>
      <c r="O262" s="4">
        <v>81</v>
      </c>
      <c r="P262" s="4">
        <v>85.485625166731694</v>
      </c>
      <c r="Q262" s="4">
        <v>87.790480715404399</v>
      </c>
      <c r="R262" s="8"/>
      <c r="S262" s="7" t="s">
        <v>35</v>
      </c>
      <c r="T262" s="4">
        <v>417071</v>
      </c>
      <c r="U262" s="4">
        <v>885686</v>
      </c>
      <c r="V262" s="4">
        <v>113</v>
      </c>
      <c r="W262" s="4">
        <v>122400</v>
      </c>
      <c r="X262" s="4">
        <v>198805</v>
      </c>
      <c r="Y262" s="4">
        <v>682140</v>
      </c>
      <c r="Z262" s="4">
        <v>120000</v>
      </c>
      <c r="AA262" s="4">
        <v>7141</v>
      </c>
      <c r="AB262" s="4">
        <v>77654</v>
      </c>
      <c r="AC262" s="4">
        <v>1028188</v>
      </c>
      <c r="AD262" s="4">
        <v>113</v>
      </c>
      <c r="AE262" s="4">
        <v>20617</v>
      </c>
      <c r="AF262" s="4">
        <v>1126572</v>
      </c>
      <c r="AG262" s="6">
        <v>32064</v>
      </c>
      <c r="AH262" s="6">
        <v>31670</v>
      </c>
      <c r="AI262" s="6">
        <v>394</v>
      </c>
      <c r="AJ262" s="6">
        <v>31717</v>
      </c>
      <c r="AK262" s="6">
        <v>14.9</v>
      </c>
      <c r="AL262" s="4">
        <v>672</v>
      </c>
      <c r="AM262" s="4">
        <v>6852</v>
      </c>
      <c r="AN262" s="4">
        <v>839</v>
      </c>
      <c r="AO262" s="6">
        <v>41523</v>
      </c>
      <c r="AP262" s="6">
        <v>15984</v>
      </c>
      <c r="AQ262" s="6">
        <v>25539</v>
      </c>
      <c r="AS262" s="6">
        <v>84.8</v>
      </c>
      <c r="AT262" s="6">
        <v>77.8</v>
      </c>
      <c r="AV262" s="4">
        <v>98</v>
      </c>
      <c r="AW262" s="4">
        <v>111</v>
      </c>
    </row>
    <row r="263" spans="1:49" x14ac:dyDescent="0.2">
      <c r="A263" s="1">
        <v>44464</v>
      </c>
      <c r="B263">
        <f>B262</f>
        <v>15.33</v>
      </c>
      <c r="C263" s="1" t="s">
        <v>57</v>
      </c>
      <c r="D263" s="1" t="s">
        <v>63</v>
      </c>
      <c r="E263" s="1" t="s">
        <v>69</v>
      </c>
      <c r="F263" s="1" t="s">
        <v>48</v>
      </c>
      <c r="G263">
        <v>3587</v>
      </c>
      <c r="H263" s="4">
        <v>96.82</v>
      </c>
      <c r="I263" s="4">
        <v>101</v>
      </c>
      <c r="J263" s="4">
        <v>89</v>
      </c>
      <c r="K263" s="4">
        <v>226.53</v>
      </c>
      <c r="L263" s="4">
        <v>111</v>
      </c>
      <c r="M263" s="4">
        <v>76</v>
      </c>
      <c r="N263" s="4">
        <v>96</v>
      </c>
      <c r="O263" s="4">
        <v>82</v>
      </c>
      <c r="P263" s="4">
        <v>75.726117175219798</v>
      </c>
      <c r="Q263" s="4">
        <v>80.145046497320095</v>
      </c>
      <c r="R263" s="8"/>
      <c r="S263" s="7" t="s">
        <v>35</v>
      </c>
      <c r="T263" s="4">
        <v>412803</v>
      </c>
      <c r="U263" s="4">
        <v>882398</v>
      </c>
      <c r="V263" s="4">
        <v>161</v>
      </c>
      <c r="W263" s="4">
        <v>122400</v>
      </c>
      <c r="X263" s="4">
        <v>198805</v>
      </c>
      <c r="Y263" s="4">
        <v>677930</v>
      </c>
      <c r="Z263" s="4">
        <v>120000</v>
      </c>
      <c r="AA263" s="4">
        <v>8063</v>
      </c>
      <c r="AB263" s="4">
        <v>78971</v>
      </c>
      <c r="AC263" s="4">
        <v>680048</v>
      </c>
      <c r="AD263" s="4">
        <v>161</v>
      </c>
      <c r="AE263" s="4">
        <v>18587</v>
      </c>
      <c r="AF263" s="4">
        <v>777767</v>
      </c>
      <c r="AG263" s="6">
        <v>28560</v>
      </c>
      <c r="AH263" s="6">
        <v>28235</v>
      </c>
      <c r="AI263" s="6">
        <v>325</v>
      </c>
      <c r="AJ263" s="6">
        <v>37768</v>
      </c>
      <c r="AK263" s="6">
        <v>18.3</v>
      </c>
      <c r="AL263" s="4">
        <v>678</v>
      </c>
      <c r="AM263" s="4">
        <v>6989</v>
      </c>
      <c r="AN263" s="4">
        <v>874</v>
      </c>
      <c r="AO263" s="6">
        <v>71414</v>
      </c>
      <c r="AP263" s="6">
        <v>24296</v>
      </c>
      <c r="AQ263" s="6">
        <v>47118</v>
      </c>
      <c r="AS263" s="6">
        <v>84.7</v>
      </c>
      <c r="AT263" s="6">
        <v>77.8</v>
      </c>
      <c r="AV263" s="4">
        <v>125</v>
      </c>
      <c r="AW263" s="4">
        <v>128</v>
      </c>
    </row>
    <row r="264" spans="1:49" x14ac:dyDescent="0.2">
      <c r="A264" s="1">
        <v>44463</v>
      </c>
      <c r="B264">
        <f t="shared" ref="B264:B268" si="36">B263</f>
        <v>15.33</v>
      </c>
      <c r="C264" s="1" t="s">
        <v>57</v>
      </c>
      <c r="D264" s="1" t="s">
        <v>63</v>
      </c>
      <c r="E264" s="1" t="s">
        <v>69</v>
      </c>
      <c r="F264" s="1" t="s">
        <v>48</v>
      </c>
      <c r="G264">
        <v>3604</v>
      </c>
      <c r="H264" s="4">
        <v>89.3</v>
      </c>
      <c r="I264" s="4">
        <v>108</v>
      </c>
      <c r="J264" s="4">
        <v>62</v>
      </c>
      <c r="K264" s="4">
        <v>175.26</v>
      </c>
      <c r="L264" s="4">
        <v>133</v>
      </c>
      <c r="M264" s="4">
        <v>77</v>
      </c>
      <c r="N264" s="4">
        <v>104</v>
      </c>
      <c r="O264" s="4">
        <v>68</v>
      </c>
      <c r="P264" s="4">
        <v>59.156725160993098</v>
      </c>
      <c r="Q264" s="4">
        <v>76.490715098041207</v>
      </c>
      <c r="R264" s="8"/>
      <c r="S264" s="7" t="s">
        <v>35</v>
      </c>
      <c r="T264" s="4">
        <v>431763</v>
      </c>
      <c r="U264" s="4">
        <v>878227</v>
      </c>
      <c r="V264" s="4">
        <v>2366</v>
      </c>
      <c r="W264" s="4">
        <v>122400</v>
      </c>
      <c r="X264" s="4">
        <v>198805</v>
      </c>
      <c r="Y264" s="4">
        <v>672780</v>
      </c>
      <c r="Z264" s="4">
        <v>120000</v>
      </c>
      <c r="AA264" s="4">
        <v>9042</v>
      </c>
      <c r="AB264" s="4">
        <v>82021</v>
      </c>
      <c r="AC264" s="4">
        <v>794685</v>
      </c>
      <c r="AD264" s="4">
        <v>611</v>
      </c>
      <c r="AE264" s="4">
        <v>22126</v>
      </c>
      <c r="AF264" s="4">
        <v>899443</v>
      </c>
      <c r="AG264" s="6">
        <v>32096</v>
      </c>
      <c r="AH264" s="6">
        <v>31705</v>
      </c>
      <c r="AI264" s="6">
        <v>391</v>
      </c>
      <c r="AJ264" s="6">
        <v>38955</v>
      </c>
      <c r="AK264" s="6">
        <v>19.1999999999999</v>
      </c>
      <c r="AL264" s="4">
        <v>731</v>
      </c>
      <c r="AM264" s="4">
        <v>6943</v>
      </c>
      <c r="AN264" s="4">
        <v>878</v>
      </c>
      <c r="AO264" s="6">
        <v>72376</v>
      </c>
      <c r="AP264" s="6">
        <v>27617</v>
      </c>
      <c r="AQ264" s="6">
        <v>44759</v>
      </c>
      <c r="AS264" s="6">
        <v>84.7</v>
      </c>
      <c r="AT264" s="6">
        <v>77.7</v>
      </c>
      <c r="AV264" s="4">
        <v>126</v>
      </c>
      <c r="AW264" s="4">
        <v>140</v>
      </c>
    </row>
    <row r="265" spans="1:49" x14ac:dyDescent="0.2">
      <c r="A265" s="1">
        <v>44462</v>
      </c>
      <c r="B265">
        <f t="shared" si="36"/>
        <v>15.33</v>
      </c>
      <c r="C265" s="1" t="s">
        <v>57</v>
      </c>
      <c r="D265" s="1" t="s">
        <v>63</v>
      </c>
      <c r="E265" s="1" t="s">
        <v>69</v>
      </c>
      <c r="F265" s="1" t="s">
        <v>48</v>
      </c>
      <c r="G265">
        <v>3609</v>
      </c>
      <c r="H265" s="4">
        <v>84.78</v>
      </c>
      <c r="I265" s="4">
        <v>109</v>
      </c>
      <c r="J265" s="4">
        <v>61</v>
      </c>
      <c r="K265" s="4">
        <v>147.69999999999999</v>
      </c>
      <c r="L265" s="4">
        <v>129</v>
      </c>
      <c r="M265" s="4">
        <v>78</v>
      </c>
      <c r="N265" s="4">
        <v>101</v>
      </c>
      <c r="O265" s="4">
        <v>64</v>
      </c>
      <c r="P265" s="4">
        <v>59.061248129999001</v>
      </c>
      <c r="Q265" s="4">
        <v>75.102941222794399</v>
      </c>
      <c r="R265" s="8"/>
      <c r="S265" s="7" t="s">
        <v>35</v>
      </c>
      <c r="T265" s="4">
        <v>457510</v>
      </c>
      <c r="U265" s="4">
        <v>872942</v>
      </c>
      <c r="V265" s="4">
        <v>3115</v>
      </c>
      <c r="W265" s="4">
        <v>122400</v>
      </c>
      <c r="X265" s="4">
        <v>198805</v>
      </c>
      <c r="Y265" s="4">
        <v>665870</v>
      </c>
      <c r="Z265" s="4">
        <v>120000</v>
      </c>
      <c r="AA265" s="4">
        <v>10667</v>
      </c>
      <c r="AB265" s="4">
        <v>90636</v>
      </c>
      <c r="AC265" s="4">
        <v>958604</v>
      </c>
      <c r="AD265" s="4">
        <v>1082</v>
      </c>
      <c r="AE265" s="4">
        <v>10300</v>
      </c>
      <c r="AF265" s="4">
        <v>1060622</v>
      </c>
      <c r="AG265" s="6">
        <v>35838</v>
      </c>
      <c r="AH265" s="6">
        <v>35342</v>
      </c>
      <c r="AI265" s="6">
        <v>496</v>
      </c>
      <c r="AJ265" s="6">
        <v>36612</v>
      </c>
      <c r="AK265" s="6">
        <v>18.100000000000001</v>
      </c>
      <c r="AL265" s="4">
        <v>783</v>
      </c>
      <c r="AM265" s="4">
        <v>7195</v>
      </c>
      <c r="AN265" s="4">
        <v>916</v>
      </c>
      <c r="AO265" s="6">
        <v>69671</v>
      </c>
      <c r="AP265" s="6">
        <v>25083</v>
      </c>
      <c r="AQ265" s="6">
        <v>44588</v>
      </c>
      <c r="AS265" s="6">
        <v>84.6</v>
      </c>
      <c r="AT265" s="6">
        <v>77.599999999999994</v>
      </c>
      <c r="AV265" s="4">
        <v>139</v>
      </c>
      <c r="AW265" s="4">
        <v>148</v>
      </c>
    </row>
    <row r="266" spans="1:49" x14ac:dyDescent="0.2">
      <c r="A266" s="1">
        <v>44461</v>
      </c>
      <c r="B266">
        <f t="shared" si="36"/>
        <v>15.33</v>
      </c>
      <c r="C266" s="1" t="s">
        <v>57</v>
      </c>
      <c r="D266" s="1" t="s">
        <v>63</v>
      </c>
      <c r="E266" s="1" t="s">
        <v>69</v>
      </c>
      <c r="F266" s="1" t="s">
        <v>48</v>
      </c>
      <c r="G266">
        <v>3614</v>
      </c>
      <c r="H266" s="4">
        <v>84.12</v>
      </c>
      <c r="I266" s="4">
        <v>109</v>
      </c>
      <c r="J266" s="4">
        <v>61</v>
      </c>
      <c r="K266" s="4">
        <v>149.16999999999999</v>
      </c>
      <c r="L266" s="4">
        <v>139</v>
      </c>
      <c r="M266" s="4">
        <v>78</v>
      </c>
      <c r="N266" s="4">
        <v>99</v>
      </c>
      <c r="O266" s="4">
        <v>64</v>
      </c>
      <c r="P266" s="4">
        <v>58.6243830676908</v>
      </c>
      <c r="Q266" s="4">
        <v>75.072244704544204</v>
      </c>
      <c r="R266" s="8"/>
      <c r="S266" s="7" t="s">
        <v>35</v>
      </c>
      <c r="T266" s="4">
        <v>394839</v>
      </c>
      <c r="U266" s="4">
        <v>883838</v>
      </c>
      <c r="V266" s="4">
        <v>2732</v>
      </c>
      <c r="W266" s="4">
        <v>122400</v>
      </c>
      <c r="X266" s="4">
        <v>198805</v>
      </c>
      <c r="Y266" s="4">
        <v>674790</v>
      </c>
      <c r="Z266" s="4">
        <v>120000</v>
      </c>
      <c r="AA266" s="4">
        <v>12643</v>
      </c>
      <c r="AB266" s="4">
        <v>105530</v>
      </c>
      <c r="AC266" s="4">
        <v>842983</v>
      </c>
      <c r="AD266" s="4">
        <v>606</v>
      </c>
      <c r="AE266" s="4">
        <v>12369</v>
      </c>
      <c r="AF266" s="4">
        <v>961488</v>
      </c>
      <c r="AG266" s="6">
        <v>36749</v>
      </c>
      <c r="AH266" s="6">
        <v>36299</v>
      </c>
      <c r="AI266" s="6">
        <v>450</v>
      </c>
      <c r="AJ266" s="6">
        <v>25903</v>
      </c>
      <c r="AK266" s="6">
        <v>12.5</v>
      </c>
      <c r="AL266" s="4">
        <v>755</v>
      </c>
      <c r="AM266" s="4">
        <v>7441</v>
      </c>
      <c r="AN266" s="4">
        <v>939</v>
      </c>
      <c r="AO266" s="6">
        <v>66726</v>
      </c>
      <c r="AP266" s="6">
        <v>22679</v>
      </c>
      <c r="AQ266" s="6">
        <v>44047</v>
      </c>
      <c r="AS266" s="6">
        <v>84.6</v>
      </c>
      <c r="AT266" s="6">
        <v>77.599999999999994</v>
      </c>
      <c r="AV266" s="4">
        <v>151</v>
      </c>
      <c r="AW266" s="4">
        <v>159</v>
      </c>
    </row>
    <row r="267" spans="1:49" x14ac:dyDescent="0.2">
      <c r="A267" s="1">
        <v>44460</v>
      </c>
      <c r="B267">
        <f t="shared" si="36"/>
        <v>15.33</v>
      </c>
      <c r="C267" s="1" t="s">
        <v>57</v>
      </c>
      <c r="D267" s="1" t="s">
        <v>63</v>
      </c>
      <c r="E267" s="1" t="s">
        <v>69</v>
      </c>
      <c r="F267" s="1" t="s">
        <v>48</v>
      </c>
      <c r="G267">
        <v>3609</v>
      </c>
      <c r="H267" s="4">
        <v>83.34</v>
      </c>
      <c r="I267" s="4">
        <v>109</v>
      </c>
      <c r="J267" s="4">
        <v>58</v>
      </c>
      <c r="K267" s="4">
        <v>140.49</v>
      </c>
      <c r="L267" s="4">
        <v>136</v>
      </c>
      <c r="M267" s="4">
        <v>77</v>
      </c>
      <c r="N267" s="4">
        <v>99</v>
      </c>
      <c r="O267" s="4">
        <v>63</v>
      </c>
      <c r="P267" s="4">
        <v>56.126359668375102</v>
      </c>
      <c r="Q267" s="4">
        <v>74.552108520253995</v>
      </c>
      <c r="R267" s="8"/>
      <c r="S267" s="7" t="s">
        <v>35</v>
      </c>
      <c r="T267" s="4">
        <v>439816</v>
      </c>
      <c r="U267" s="4">
        <v>880582</v>
      </c>
      <c r="V267" s="4">
        <v>3025</v>
      </c>
      <c r="W267" s="4">
        <v>122400</v>
      </c>
      <c r="X267" s="4">
        <v>198805</v>
      </c>
      <c r="Y267" s="4">
        <v>676300</v>
      </c>
      <c r="Z267" s="4">
        <v>120000</v>
      </c>
      <c r="AA267" s="4">
        <v>7877</v>
      </c>
      <c r="AB267" s="4">
        <v>117139</v>
      </c>
      <c r="AC267" s="4">
        <v>764343</v>
      </c>
      <c r="AD267" s="4">
        <v>794</v>
      </c>
      <c r="AE267" s="4">
        <v>17470</v>
      </c>
      <c r="AF267" s="4">
        <v>899746</v>
      </c>
      <c r="AG267" s="6">
        <v>38836</v>
      </c>
      <c r="AH267" s="6">
        <v>38382</v>
      </c>
      <c r="AI267" s="6">
        <v>454</v>
      </c>
      <c r="AJ267" s="6">
        <v>14073</v>
      </c>
      <c r="AK267" s="6">
        <v>6.5999999999999899</v>
      </c>
      <c r="AL267" s="4">
        <v>808</v>
      </c>
      <c r="AM267" s="4">
        <v>7648</v>
      </c>
      <c r="AN267" s="4">
        <v>943</v>
      </c>
      <c r="AO267" s="6">
        <v>63790</v>
      </c>
      <c r="AP267" s="6">
        <v>20384</v>
      </c>
      <c r="AQ267" s="6">
        <v>43406</v>
      </c>
      <c r="AS267" s="6">
        <v>84.6</v>
      </c>
      <c r="AT267" s="6">
        <v>77.5</v>
      </c>
      <c r="AV267" s="4">
        <v>122</v>
      </c>
      <c r="AW267" s="4">
        <v>137</v>
      </c>
    </row>
    <row r="268" spans="1:49" x14ac:dyDescent="0.2">
      <c r="A268" s="1">
        <v>44459</v>
      </c>
      <c r="B268">
        <f t="shared" si="36"/>
        <v>15.33</v>
      </c>
      <c r="C268" s="1" t="s">
        <v>57</v>
      </c>
      <c r="D268" s="1" t="s">
        <v>63</v>
      </c>
      <c r="E268" s="1" t="s">
        <v>69</v>
      </c>
      <c r="F268" s="1" t="s">
        <v>48</v>
      </c>
      <c r="G268">
        <v>3611</v>
      </c>
      <c r="H268" s="4">
        <v>72.099999999999994</v>
      </c>
      <c r="I268" s="4">
        <v>110</v>
      </c>
      <c r="J268" s="4">
        <v>57</v>
      </c>
      <c r="K268" s="4">
        <v>127.51</v>
      </c>
      <c r="L268" s="4">
        <v>130</v>
      </c>
      <c r="M268" s="4">
        <v>78</v>
      </c>
      <c r="N268" s="4">
        <v>100</v>
      </c>
      <c r="O268" s="4">
        <v>61</v>
      </c>
      <c r="P268" s="4">
        <v>52.800534123078201</v>
      </c>
      <c r="Q268" s="4">
        <v>73.800686544657594</v>
      </c>
      <c r="R268" s="8"/>
      <c r="S268" s="7" t="s">
        <v>35</v>
      </c>
      <c r="T268" s="4">
        <v>325638</v>
      </c>
      <c r="U268" s="4">
        <v>875625</v>
      </c>
      <c r="V268" s="4">
        <v>1000</v>
      </c>
      <c r="W268" s="4">
        <v>122400</v>
      </c>
      <c r="X268" s="4">
        <v>198805</v>
      </c>
      <c r="Y268" s="4">
        <v>676820</v>
      </c>
      <c r="Z268" s="4">
        <v>120000</v>
      </c>
      <c r="AA268" s="4">
        <v>2400</v>
      </c>
      <c r="AB268" s="4">
        <v>99505</v>
      </c>
      <c r="AC268" s="4">
        <v>901756</v>
      </c>
      <c r="AD268" s="4">
        <v>651</v>
      </c>
      <c r="AE268" s="4">
        <v>9849</v>
      </c>
      <c r="AF268" s="4">
        <v>1011761</v>
      </c>
      <c r="AG268" s="6">
        <v>40756</v>
      </c>
      <c r="AH268" s="6">
        <v>40252</v>
      </c>
      <c r="AI268" s="6">
        <v>504</v>
      </c>
      <c r="AJ268" s="6">
        <v>-539</v>
      </c>
      <c r="AK268" s="6">
        <v>-0.2</v>
      </c>
      <c r="AL268" s="4">
        <v>813</v>
      </c>
      <c r="AM268" s="4">
        <v>7821</v>
      </c>
      <c r="AN268" s="4">
        <v>982</v>
      </c>
      <c r="AO268" s="6">
        <v>66492</v>
      </c>
      <c r="AP268" s="6">
        <v>20150</v>
      </c>
      <c r="AQ268" s="6">
        <v>46342</v>
      </c>
      <c r="AS268" s="6">
        <v>84.5</v>
      </c>
      <c r="AT268" s="6">
        <v>77.400000000000006</v>
      </c>
      <c r="AV268" s="4">
        <v>139</v>
      </c>
      <c r="AW268" s="4">
        <v>159</v>
      </c>
    </row>
    <row r="269" spans="1:49" x14ac:dyDescent="0.2">
      <c r="A269" s="1">
        <v>44458</v>
      </c>
      <c r="B269">
        <v>18.190000000000001</v>
      </c>
      <c r="C269" s="1" t="s">
        <v>57</v>
      </c>
      <c r="D269" s="1" t="s">
        <v>63</v>
      </c>
      <c r="E269" s="1" t="s">
        <v>69</v>
      </c>
      <c r="F269" s="1" t="s">
        <v>48</v>
      </c>
      <c r="G269">
        <v>3592</v>
      </c>
      <c r="H269" s="4">
        <v>94.18</v>
      </c>
      <c r="I269" s="4">
        <v>102</v>
      </c>
      <c r="J269" s="4">
        <v>90</v>
      </c>
      <c r="K269" s="4">
        <v>123.81</v>
      </c>
      <c r="L269" s="4">
        <v>108</v>
      </c>
      <c r="M269" s="4">
        <v>77</v>
      </c>
      <c r="N269" s="4">
        <v>90</v>
      </c>
      <c r="O269" s="4">
        <v>72</v>
      </c>
      <c r="P269" s="4">
        <v>70.853843891294403</v>
      </c>
      <c r="Q269" s="4">
        <v>82.682304337281906</v>
      </c>
      <c r="R269" s="8"/>
      <c r="S269" s="7" t="s">
        <v>35</v>
      </c>
      <c r="T269" s="4">
        <v>351221</v>
      </c>
      <c r="U269" s="4">
        <v>847777</v>
      </c>
      <c r="V269" s="4">
        <v>36</v>
      </c>
      <c r="W269" s="4">
        <v>122400</v>
      </c>
      <c r="X269" s="4">
        <v>198805</v>
      </c>
      <c r="Y269" s="4">
        <v>641290</v>
      </c>
      <c r="Z269" s="4">
        <v>120000</v>
      </c>
      <c r="AA269" s="4">
        <v>10082</v>
      </c>
      <c r="AB269" s="4">
        <v>65384</v>
      </c>
      <c r="AC269" s="4">
        <v>1049427</v>
      </c>
      <c r="AD269" s="4">
        <v>36</v>
      </c>
      <c r="AE269" s="4">
        <v>7682</v>
      </c>
      <c r="AF269" s="4">
        <v>1122529</v>
      </c>
      <c r="AG269" s="6">
        <v>31084</v>
      </c>
      <c r="AH269" s="6">
        <v>30711</v>
      </c>
      <c r="AI269" s="6">
        <v>373</v>
      </c>
      <c r="AJ269" s="6">
        <v>-16906</v>
      </c>
      <c r="AK269" s="6">
        <v>-7.2999999999999901</v>
      </c>
      <c r="AL269" s="4">
        <v>731</v>
      </c>
      <c r="AM269" s="4">
        <v>7770</v>
      </c>
      <c r="AN269" s="4">
        <v>1006</v>
      </c>
      <c r="AO269" s="6">
        <v>48997</v>
      </c>
      <c r="AP269" s="6">
        <v>13840</v>
      </c>
      <c r="AQ269" s="6">
        <v>35157</v>
      </c>
      <c r="AS269" s="6">
        <v>84.5</v>
      </c>
      <c r="AT269" s="6">
        <v>77.3</v>
      </c>
      <c r="AV269" s="4">
        <v>125</v>
      </c>
      <c r="AW269" s="4">
        <v>135</v>
      </c>
    </row>
    <row r="270" spans="1:49" x14ac:dyDescent="0.2">
      <c r="A270" s="1">
        <v>44457</v>
      </c>
      <c r="B270">
        <f>B269</f>
        <v>18.190000000000001</v>
      </c>
      <c r="C270" s="1" t="s">
        <v>57</v>
      </c>
      <c r="D270" s="1" t="s">
        <v>63</v>
      </c>
      <c r="E270" s="1" t="s">
        <v>69</v>
      </c>
      <c r="F270" s="1" t="s">
        <v>48</v>
      </c>
      <c r="G270">
        <v>3600</v>
      </c>
      <c r="H270" s="4">
        <v>97.52</v>
      </c>
      <c r="I270" s="4">
        <v>100</v>
      </c>
      <c r="J270" s="4">
        <v>88</v>
      </c>
      <c r="K270" s="4">
        <v>191.22</v>
      </c>
      <c r="L270" s="4">
        <v>123</v>
      </c>
      <c r="M270" s="4">
        <v>75</v>
      </c>
      <c r="N270" s="4">
        <v>95</v>
      </c>
      <c r="O270" s="4">
        <v>75</v>
      </c>
      <c r="P270" s="4">
        <v>66.165452293633507</v>
      </c>
      <c r="Q270" s="4">
        <v>79.495173936872106</v>
      </c>
      <c r="R270" s="8"/>
      <c r="S270" s="7" t="s">
        <v>35</v>
      </c>
      <c r="T270" s="4">
        <v>335273</v>
      </c>
      <c r="U270" s="4">
        <v>837262</v>
      </c>
      <c r="V270" s="4">
        <v>1476</v>
      </c>
      <c r="W270" s="4">
        <v>122400</v>
      </c>
      <c r="X270" s="4">
        <v>198805</v>
      </c>
      <c r="Y270" s="4">
        <v>629660</v>
      </c>
      <c r="Z270" s="4">
        <v>120000</v>
      </c>
      <c r="AA270" s="4">
        <v>11197</v>
      </c>
      <c r="AB270" s="4">
        <v>64595</v>
      </c>
      <c r="AC270" s="4">
        <v>605833</v>
      </c>
      <c r="AD270" s="4">
        <v>82</v>
      </c>
      <c r="AE270" s="4">
        <v>23374</v>
      </c>
      <c r="AF270" s="4">
        <v>693884</v>
      </c>
      <c r="AG270" s="6">
        <v>26639</v>
      </c>
      <c r="AH270" s="6">
        <v>26344</v>
      </c>
      <c r="AI270" s="6">
        <v>295</v>
      </c>
      <c r="AJ270" s="6">
        <v>-31683</v>
      </c>
      <c r="AK270" s="6">
        <v>-13.3</v>
      </c>
      <c r="AL270" s="4">
        <v>759</v>
      </c>
      <c r="AM270" s="4">
        <v>7719</v>
      </c>
      <c r="AN270" s="4">
        <v>1004</v>
      </c>
      <c r="AO270" s="6">
        <v>98695</v>
      </c>
      <c r="AP270" s="6">
        <v>26198</v>
      </c>
      <c r="AQ270" s="6">
        <v>72497</v>
      </c>
      <c r="AS270" s="6">
        <v>84.5</v>
      </c>
      <c r="AT270" s="6">
        <v>77.3</v>
      </c>
      <c r="AV270" s="4">
        <v>124</v>
      </c>
      <c r="AW270" s="4">
        <v>137</v>
      </c>
    </row>
    <row r="271" spans="1:49" x14ac:dyDescent="0.2">
      <c r="A271" s="1">
        <v>44456</v>
      </c>
      <c r="B271">
        <f t="shared" ref="B271:B275" si="37">B270</f>
        <v>18.190000000000001</v>
      </c>
      <c r="C271" s="1" t="s">
        <v>57</v>
      </c>
      <c r="D271" s="1" t="s">
        <v>63</v>
      </c>
      <c r="E271" s="1" t="s">
        <v>69</v>
      </c>
      <c r="F271" s="1" t="s">
        <v>48</v>
      </c>
      <c r="G271">
        <v>3591</v>
      </c>
      <c r="H271" s="4">
        <v>83.69</v>
      </c>
      <c r="I271" s="4">
        <v>108</v>
      </c>
      <c r="J271" s="4">
        <v>59</v>
      </c>
      <c r="K271" s="4">
        <v>152.86000000000001</v>
      </c>
      <c r="L271" s="4">
        <v>122</v>
      </c>
      <c r="M271" s="4">
        <v>74</v>
      </c>
      <c r="N271" s="4">
        <v>100</v>
      </c>
      <c r="O271" s="4">
        <v>65</v>
      </c>
      <c r="P271" s="4">
        <v>54.0760438033927</v>
      </c>
      <c r="Q271" s="4">
        <v>74.696244946379807</v>
      </c>
      <c r="R271" s="8"/>
      <c r="S271" s="7" t="s">
        <v>35</v>
      </c>
      <c r="T271" s="4">
        <v>410704</v>
      </c>
      <c r="U271" s="4">
        <v>835743</v>
      </c>
      <c r="V271" s="4">
        <v>3690</v>
      </c>
      <c r="W271" s="4">
        <v>122400</v>
      </c>
      <c r="X271" s="4">
        <v>198805</v>
      </c>
      <c r="Y271" s="4">
        <v>628510</v>
      </c>
      <c r="Z271" s="4">
        <v>120000</v>
      </c>
      <c r="AA271" s="4">
        <v>10828</v>
      </c>
      <c r="AB271" s="4">
        <v>81917</v>
      </c>
      <c r="AC271" s="4">
        <v>781550</v>
      </c>
      <c r="AD271" s="4">
        <v>342</v>
      </c>
      <c r="AE271" s="4">
        <v>28944</v>
      </c>
      <c r="AF271" s="4">
        <v>892753</v>
      </c>
      <c r="AG271" s="6">
        <v>29464</v>
      </c>
      <c r="AH271" s="6">
        <v>29122</v>
      </c>
      <c r="AI271" s="6">
        <v>342</v>
      </c>
      <c r="AJ271" s="6">
        <v>-43064</v>
      </c>
      <c r="AK271" s="6">
        <v>-17.5</v>
      </c>
      <c r="AL271" s="4">
        <v>754</v>
      </c>
      <c r="AM271" s="4">
        <v>7930</v>
      </c>
      <c r="AN271" s="4">
        <v>1011</v>
      </c>
      <c r="AO271" s="6">
        <v>81162</v>
      </c>
      <c r="AP271" s="6">
        <v>20778</v>
      </c>
      <c r="AQ271" s="6">
        <v>60384</v>
      </c>
      <c r="AS271" s="6">
        <v>84.4</v>
      </c>
      <c r="AT271" s="6">
        <v>77.099999999999994</v>
      </c>
      <c r="AV271" s="4">
        <v>176</v>
      </c>
      <c r="AW271" s="4">
        <v>184</v>
      </c>
    </row>
    <row r="272" spans="1:49" x14ac:dyDescent="0.2">
      <c r="A272" s="1">
        <v>44455</v>
      </c>
      <c r="B272">
        <f t="shared" si="37"/>
        <v>18.190000000000001</v>
      </c>
      <c r="C272" s="1" t="s">
        <v>57</v>
      </c>
      <c r="D272" s="1" t="s">
        <v>63</v>
      </c>
      <c r="E272" s="1" t="s">
        <v>69</v>
      </c>
      <c r="F272" s="1" t="s">
        <v>48</v>
      </c>
      <c r="G272">
        <v>3593</v>
      </c>
      <c r="H272" s="4">
        <v>80.64</v>
      </c>
      <c r="I272" s="4">
        <v>109</v>
      </c>
      <c r="J272" s="4">
        <v>58</v>
      </c>
      <c r="K272" s="4">
        <v>139.63999999999999</v>
      </c>
      <c r="L272" s="4">
        <v>142</v>
      </c>
      <c r="M272" s="4">
        <v>77</v>
      </c>
      <c r="N272" s="4">
        <v>100</v>
      </c>
      <c r="O272" s="4">
        <v>63</v>
      </c>
      <c r="P272" s="4">
        <v>55.159574329616198</v>
      </c>
      <c r="Q272" s="4">
        <v>74.287650583741694</v>
      </c>
      <c r="R272" s="8"/>
      <c r="S272" s="7" t="s">
        <v>35</v>
      </c>
      <c r="T272" s="4">
        <v>439605</v>
      </c>
      <c r="U272" s="4">
        <v>827638</v>
      </c>
      <c r="V272" s="4">
        <v>1649</v>
      </c>
      <c r="W272" s="4">
        <v>122400</v>
      </c>
      <c r="X272" s="4">
        <v>198520</v>
      </c>
      <c r="Y272" s="4">
        <v>621920</v>
      </c>
      <c r="Z272" s="4">
        <v>120000</v>
      </c>
      <c r="AA272" s="4">
        <v>9598</v>
      </c>
      <c r="AB272" s="4">
        <v>97943</v>
      </c>
      <c r="AC272" s="4">
        <v>927322</v>
      </c>
      <c r="AD272" s="4">
        <v>537</v>
      </c>
      <c r="AE272" s="4">
        <v>19042</v>
      </c>
      <c r="AF272" s="4">
        <v>1044844</v>
      </c>
      <c r="AG272" s="6">
        <v>29547</v>
      </c>
      <c r="AH272" s="6">
        <v>29195</v>
      </c>
      <c r="AI272" s="6">
        <v>352</v>
      </c>
      <c r="AJ272" s="6">
        <v>-52804</v>
      </c>
      <c r="AK272" s="6">
        <v>-20.6999999999999</v>
      </c>
      <c r="AL272" s="4">
        <v>894</v>
      </c>
      <c r="AM272" s="4">
        <v>8139</v>
      </c>
      <c r="AN272" s="4">
        <v>1020</v>
      </c>
      <c r="AO272" s="6">
        <v>87024</v>
      </c>
      <c r="AP272" s="6">
        <v>23051</v>
      </c>
      <c r="AQ272" s="6">
        <v>63973</v>
      </c>
      <c r="AS272" s="6">
        <v>84.4</v>
      </c>
      <c r="AT272" s="6">
        <v>77</v>
      </c>
      <c r="AV272" s="4">
        <v>151</v>
      </c>
      <c r="AW272" s="4">
        <v>160</v>
      </c>
    </row>
    <row r="273" spans="1:49" x14ac:dyDescent="0.2">
      <c r="A273" s="1">
        <v>44454</v>
      </c>
      <c r="B273">
        <f t="shared" si="37"/>
        <v>18.190000000000001</v>
      </c>
      <c r="C273" s="1" t="s">
        <v>57</v>
      </c>
      <c r="D273" s="1" t="s">
        <v>63</v>
      </c>
      <c r="E273" s="1" t="s">
        <v>69</v>
      </c>
      <c r="F273" s="1" t="s">
        <v>48</v>
      </c>
      <c r="G273">
        <v>3587</v>
      </c>
      <c r="H273" s="4">
        <v>78.86</v>
      </c>
      <c r="I273" s="4">
        <v>109</v>
      </c>
      <c r="J273" s="4">
        <v>59</v>
      </c>
      <c r="K273" s="4">
        <v>134</v>
      </c>
      <c r="L273" s="4">
        <v>127</v>
      </c>
      <c r="M273" s="4">
        <v>76</v>
      </c>
      <c r="N273" s="4">
        <v>101</v>
      </c>
      <c r="O273" s="4">
        <v>63</v>
      </c>
      <c r="P273" s="4">
        <v>54.117445884220203</v>
      </c>
      <c r="Q273" s="4">
        <v>73.971087367466396</v>
      </c>
      <c r="R273" s="8"/>
      <c r="S273" s="7" t="s">
        <v>35</v>
      </c>
      <c r="T273" s="4">
        <v>446342</v>
      </c>
      <c r="U273" s="4">
        <v>829385</v>
      </c>
      <c r="V273" s="4">
        <v>2450</v>
      </c>
      <c r="W273" s="4">
        <v>122400</v>
      </c>
      <c r="X273" s="4">
        <v>198520</v>
      </c>
      <c r="Y273" s="4">
        <v>624110</v>
      </c>
      <c r="Z273" s="4">
        <v>120000</v>
      </c>
      <c r="AA273" s="4">
        <v>9155</v>
      </c>
      <c r="AB273" s="4">
        <v>108379</v>
      </c>
      <c r="AC273" s="4">
        <v>1002469</v>
      </c>
      <c r="AD273" s="4">
        <v>528</v>
      </c>
      <c r="AE273" s="4">
        <v>23054</v>
      </c>
      <c r="AF273" s="4">
        <v>1134430</v>
      </c>
      <c r="AG273" s="6">
        <v>30379</v>
      </c>
      <c r="AH273" s="6">
        <v>30026</v>
      </c>
      <c r="AI273" s="6">
        <v>353</v>
      </c>
      <c r="AJ273" s="6">
        <v>-56731</v>
      </c>
      <c r="AK273" s="6">
        <v>-21.5</v>
      </c>
      <c r="AL273" s="4">
        <v>951</v>
      </c>
      <c r="AM273" s="4">
        <v>8421</v>
      </c>
      <c r="AN273" s="4">
        <v>1081</v>
      </c>
      <c r="AO273" s="6">
        <v>87692</v>
      </c>
      <c r="AP273" s="6">
        <v>24402</v>
      </c>
      <c r="AQ273" s="6">
        <v>63290</v>
      </c>
      <c r="AS273" s="6">
        <v>84.3</v>
      </c>
      <c r="AT273" s="6">
        <v>76.900000000000006</v>
      </c>
      <c r="AV273" s="4">
        <v>144</v>
      </c>
      <c r="AW273" s="4">
        <v>166</v>
      </c>
    </row>
    <row r="274" spans="1:49" x14ac:dyDescent="0.2">
      <c r="A274" s="1">
        <v>44453</v>
      </c>
      <c r="B274">
        <f t="shared" si="37"/>
        <v>18.190000000000001</v>
      </c>
      <c r="C274" s="1" t="s">
        <v>57</v>
      </c>
      <c r="D274" s="1" t="s">
        <v>63</v>
      </c>
      <c r="E274" s="1" t="s">
        <v>69</v>
      </c>
      <c r="F274" s="1" t="s">
        <v>48</v>
      </c>
      <c r="G274">
        <v>3595</v>
      </c>
      <c r="H274" s="4">
        <v>68.67</v>
      </c>
      <c r="I274" s="4">
        <v>111</v>
      </c>
      <c r="J274" s="4">
        <v>56</v>
      </c>
      <c r="K274" s="4">
        <v>120.88</v>
      </c>
      <c r="L274" s="4">
        <v>92</v>
      </c>
      <c r="M274" s="4">
        <v>70</v>
      </c>
      <c r="N274" s="4">
        <v>93</v>
      </c>
      <c r="O274" s="4">
        <v>62</v>
      </c>
      <c r="P274" s="4">
        <v>52.850935506043001</v>
      </c>
      <c r="Q274" s="4">
        <v>70.0889235226892</v>
      </c>
      <c r="R274" s="8"/>
      <c r="S274" s="7" t="s">
        <v>35</v>
      </c>
      <c r="T274" s="4">
        <v>399630</v>
      </c>
      <c r="U274" s="4">
        <v>825713</v>
      </c>
      <c r="V274" s="4">
        <v>1709</v>
      </c>
      <c r="W274" s="4">
        <v>122400</v>
      </c>
      <c r="X274" s="4">
        <v>198520</v>
      </c>
      <c r="Y274" s="4">
        <v>624660</v>
      </c>
      <c r="Z274" s="4">
        <v>120000</v>
      </c>
      <c r="AA274" s="4">
        <v>4933</v>
      </c>
      <c r="AB274" s="4">
        <v>110341</v>
      </c>
      <c r="AC274" s="4">
        <v>770830</v>
      </c>
      <c r="AD274" s="4">
        <v>445</v>
      </c>
      <c r="AE274" s="4">
        <v>3797</v>
      </c>
      <c r="AF274" s="4">
        <v>885413</v>
      </c>
      <c r="AG274" s="6">
        <v>31417</v>
      </c>
      <c r="AH274" s="6">
        <v>31023</v>
      </c>
      <c r="AI274" s="6">
        <v>394</v>
      </c>
      <c r="AJ274" s="6">
        <v>-58947</v>
      </c>
      <c r="AK274" s="6">
        <v>-21.6999999999999</v>
      </c>
      <c r="AL274" s="4">
        <v>952</v>
      </c>
      <c r="AM274" s="4">
        <v>8414</v>
      </c>
      <c r="AN274" s="4">
        <v>1060</v>
      </c>
      <c r="AO274" s="6">
        <v>84370</v>
      </c>
      <c r="AP274" s="6">
        <v>17645</v>
      </c>
      <c r="AQ274" s="6">
        <v>66725</v>
      </c>
      <c r="AS274" s="6">
        <v>84.3</v>
      </c>
      <c r="AT274" s="6">
        <v>76.8</v>
      </c>
      <c r="AV274" s="4">
        <v>155</v>
      </c>
      <c r="AW274" s="4">
        <v>170</v>
      </c>
    </row>
    <row r="275" spans="1:49" x14ac:dyDescent="0.2">
      <c r="A275" s="1">
        <v>44452</v>
      </c>
      <c r="B275">
        <f t="shared" si="37"/>
        <v>18.190000000000001</v>
      </c>
      <c r="C275" s="1" t="s">
        <v>57</v>
      </c>
      <c r="D275" s="1" t="s">
        <v>63</v>
      </c>
      <c r="E275" s="1" t="s">
        <v>69</v>
      </c>
      <c r="F275" s="1" t="s">
        <v>48</v>
      </c>
      <c r="G275">
        <v>3586</v>
      </c>
      <c r="H275" s="4">
        <v>65.41</v>
      </c>
      <c r="I275" s="4">
        <v>110</v>
      </c>
      <c r="J275" s="4">
        <v>58</v>
      </c>
      <c r="K275" s="4">
        <v>121.01</v>
      </c>
      <c r="L275" s="4">
        <v>139</v>
      </c>
      <c r="M275" s="4">
        <v>78</v>
      </c>
      <c r="N275" s="4">
        <v>102</v>
      </c>
      <c r="O275" s="4">
        <v>62</v>
      </c>
      <c r="P275" s="4">
        <v>50.473609170737099</v>
      </c>
      <c r="Q275" s="4">
        <v>73.674967086543205</v>
      </c>
      <c r="R275" s="8"/>
      <c r="S275" s="7" t="s">
        <v>35</v>
      </c>
      <c r="T275" s="4">
        <v>317289</v>
      </c>
      <c r="U275" s="4">
        <v>802676</v>
      </c>
      <c r="V275" s="4">
        <v>1641</v>
      </c>
      <c r="W275" s="4">
        <v>122400</v>
      </c>
      <c r="X275" s="4">
        <v>198520</v>
      </c>
      <c r="Y275" s="4">
        <v>600730</v>
      </c>
      <c r="Z275" s="4">
        <v>120000</v>
      </c>
      <c r="AA275" s="4">
        <v>5826</v>
      </c>
      <c r="AB275" s="4">
        <v>96803</v>
      </c>
      <c r="AC275" s="4">
        <v>962342</v>
      </c>
      <c r="AD275" s="4">
        <v>281</v>
      </c>
      <c r="AE275" s="4">
        <v>16180</v>
      </c>
      <c r="AF275" s="4">
        <v>1075606</v>
      </c>
      <c r="AG275" s="6">
        <v>34652</v>
      </c>
      <c r="AH275" s="6">
        <v>34224</v>
      </c>
      <c r="AI275" s="6">
        <v>428</v>
      </c>
      <c r="AJ275" s="6">
        <v>-58350</v>
      </c>
      <c r="AK275" s="6">
        <v>-21</v>
      </c>
      <c r="AL275" s="4">
        <v>943</v>
      </c>
      <c r="AM275" s="4">
        <v>8490</v>
      </c>
      <c r="AN275" s="4">
        <v>1056</v>
      </c>
      <c r="AO275" s="6">
        <v>80081</v>
      </c>
      <c r="AP275" s="6">
        <v>19428</v>
      </c>
      <c r="AQ275" s="6">
        <v>60653</v>
      </c>
      <c r="AS275" s="6">
        <v>84.3</v>
      </c>
      <c r="AT275" s="6">
        <v>76.7</v>
      </c>
      <c r="AV275" s="4">
        <v>110</v>
      </c>
      <c r="AW275" s="4">
        <v>118</v>
      </c>
    </row>
    <row r="276" spans="1:49" x14ac:dyDescent="0.2">
      <c r="A276" s="1">
        <v>44451</v>
      </c>
      <c r="B276">
        <v>19.260000000000002</v>
      </c>
      <c r="C276" s="1" t="s">
        <v>57</v>
      </c>
      <c r="D276" s="1" t="s">
        <v>63</v>
      </c>
      <c r="E276" s="1" t="s">
        <v>69</v>
      </c>
      <c r="F276" s="1" t="s">
        <v>48</v>
      </c>
      <c r="G276">
        <v>3593</v>
      </c>
      <c r="H276" s="4">
        <v>91.59</v>
      </c>
      <c r="I276" s="4">
        <v>101</v>
      </c>
      <c r="J276" s="4">
        <v>93</v>
      </c>
      <c r="K276" s="4">
        <v>128.13999999999999</v>
      </c>
      <c r="L276" s="4">
        <v>136</v>
      </c>
      <c r="M276" s="4">
        <v>78</v>
      </c>
      <c r="N276" s="4">
        <v>94</v>
      </c>
      <c r="O276" s="4">
        <v>74</v>
      </c>
      <c r="P276" s="4">
        <v>68.766739857585506</v>
      </c>
      <c r="Q276" s="4">
        <v>83.700152746026205</v>
      </c>
      <c r="R276" s="8"/>
      <c r="S276" s="7" t="s">
        <v>35</v>
      </c>
      <c r="T276" s="4">
        <v>329676</v>
      </c>
      <c r="U276" s="4">
        <v>771580</v>
      </c>
      <c r="V276" s="4">
        <v>206</v>
      </c>
      <c r="W276" s="4">
        <v>122400</v>
      </c>
      <c r="X276" s="4">
        <v>198520</v>
      </c>
      <c r="Y276" s="4">
        <v>573060</v>
      </c>
      <c r="Z276" s="4">
        <v>120000</v>
      </c>
      <c r="AA276" s="4">
        <v>2400</v>
      </c>
      <c r="AB276" s="4">
        <v>78168</v>
      </c>
      <c r="AC276" s="4">
        <v>980638</v>
      </c>
      <c r="AD276" s="4">
        <v>206</v>
      </c>
      <c r="AE276" s="4">
        <v>11785</v>
      </c>
      <c r="AF276" s="4">
        <v>1070797</v>
      </c>
      <c r="AG276" s="6">
        <v>24053</v>
      </c>
      <c r="AH276" s="6">
        <v>23760</v>
      </c>
      <c r="AI276" s="6">
        <v>293</v>
      </c>
      <c r="AJ276" s="6">
        <v>-37927</v>
      </c>
      <c r="AK276" s="6">
        <v>-14.1999999999999</v>
      </c>
      <c r="AL276" s="4">
        <v>868</v>
      </c>
      <c r="AM276" s="4">
        <v>8267</v>
      </c>
      <c r="AN276" s="4">
        <v>1055</v>
      </c>
      <c r="AO276" s="6">
        <v>67570</v>
      </c>
      <c r="AP276" s="6">
        <v>14955</v>
      </c>
      <c r="AQ276" s="6">
        <v>52615</v>
      </c>
      <c r="AS276" s="6">
        <v>84.2</v>
      </c>
      <c r="AT276" s="6">
        <v>76.599999999999994</v>
      </c>
      <c r="AV276" s="4">
        <v>144</v>
      </c>
      <c r="AW276" s="4">
        <v>141</v>
      </c>
    </row>
    <row r="277" spans="1:49" x14ac:dyDescent="0.2">
      <c r="A277" s="1">
        <v>44450</v>
      </c>
      <c r="B277">
        <f>B276</f>
        <v>19.260000000000002</v>
      </c>
      <c r="C277" s="1" t="s">
        <v>57</v>
      </c>
      <c r="D277" s="1" t="s">
        <v>63</v>
      </c>
      <c r="E277" s="1" t="s">
        <v>69</v>
      </c>
      <c r="F277" s="1" t="s">
        <v>48</v>
      </c>
      <c r="G277">
        <v>3580</v>
      </c>
      <c r="H277" s="4">
        <v>96.52</v>
      </c>
      <c r="I277" s="4">
        <v>101</v>
      </c>
      <c r="J277" s="4">
        <v>90</v>
      </c>
      <c r="K277" s="4">
        <v>185.62</v>
      </c>
      <c r="L277" s="4">
        <v>117</v>
      </c>
      <c r="M277" s="4">
        <v>75</v>
      </c>
      <c r="N277" s="4">
        <v>95</v>
      </c>
      <c r="O277" s="4">
        <v>75</v>
      </c>
      <c r="P277" s="4">
        <v>65.275965036710403</v>
      </c>
      <c r="Q277" s="4">
        <v>77.5104609157694</v>
      </c>
      <c r="R277" s="8"/>
      <c r="S277" s="7" t="s">
        <v>35</v>
      </c>
      <c r="T277" s="4">
        <v>354628</v>
      </c>
      <c r="U277" s="4">
        <v>771350</v>
      </c>
      <c r="V277" s="4">
        <v>1551</v>
      </c>
      <c r="W277" s="4">
        <v>122400</v>
      </c>
      <c r="X277" s="4">
        <v>198520</v>
      </c>
      <c r="Y277" s="4">
        <v>572830</v>
      </c>
      <c r="Z277" s="4">
        <v>120000</v>
      </c>
      <c r="AA277" s="4">
        <v>2400</v>
      </c>
      <c r="AB277" s="4">
        <v>69298</v>
      </c>
      <c r="AC277" s="4">
        <v>638454</v>
      </c>
      <c r="AD277" s="4">
        <v>296</v>
      </c>
      <c r="AE277" s="4">
        <v>14703</v>
      </c>
      <c r="AF277" s="4">
        <v>722751</v>
      </c>
      <c r="AG277" s="6">
        <v>23531</v>
      </c>
      <c r="AH277" s="6">
        <v>23247</v>
      </c>
      <c r="AI277" s="6">
        <v>284</v>
      </c>
      <c r="AJ277" s="6">
        <v>-24514</v>
      </c>
      <c r="AK277" s="6">
        <v>-9.3000000000000007</v>
      </c>
      <c r="AL277" s="4">
        <v>851</v>
      </c>
      <c r="AM277" s="4">
        <v>8157</v>
      </c>
      <c r="AN277" s="4">
        <v>1027</v>
      </c>
      <c r="AO277" s="6">
        <v>125972</v>
      </c>
      <c r="AP277" s="6">
        <v>27913</v>
      </c>
      <c r="AQ277" s="6">
        <v>98059</v>
      </c>
      <c r="AS277" s="6">
        <v>84.2</v>
      </c>
      <c r="AT277" s="6">
        <v>76.5</v>
      </c>
      <c r="AV277" s="4">
        <v>138</v>
      </c>
      <c r="AW277" s="4">
        <v>144</v>
      </c>
    </row>
    <row r="278" spans="1:49" x14ac:dyDescent="0.2">
      <c r="A278" s="1">
        <v>44449</v>
      </c>
      <c r="B278">
        <f t="shared" ref="B278:B282" si="38">B277</f>
        <v>19.260000000000002</v>
      </c>
      <c r="C278" s="1" t="s">
        <v>57</v>
      </c>
      <c r="D278" s="1" t="s">
        <v>63</v>
      </c>
      <c r="E278" s="1" t="s">
        <v>69</v>
      </c>
      <c r="F278" s="1" t="s">
        <v>48</v>
      </c>
      <c r="G278">
        <v>3588</v>
      </c>
      <c r="H278" s="4">
        <v>80.489999999999995</v>
      </c>
      <c r="I278" s="4">
        <v>109</v>
      </c>
      <c r="J278" s="4">
        <v>61</v>
      </c>
      <c r="K278" s="4">
        <v>151.01</v>
      </c>
      <c r="L278" s="4">
        <v>110</v>
      </c>
      <c r="M278" s="4">
        <v>72</v>
      </c>
      <c r="N278" s="4">
        <v>98</v>
      </c>
      <c r="O278" s="4">
        <v>63</v>
      </c>
      <c r="P278" s="4">
        <v>51.6903582047374</v>
      </c>
      <c r="Q278" s="4">
        <v>72.528928947603504</v>
      </c>
      <c r="R278" s="8"/>
      <c r="S278" s="7" t="s">
        <v>35</v>
      </c>
      <c r="T278" s="4">
        <v>391986</v>
      </c>
      <c r="U278" s="4">
        <v>761870</v>
      </c>
      <c r="V278" s="4">
        <v>3037</v>
      </c>
      <c r="W278" s="4">
        <v>122400</v>
      </c>
      <c r="X278" s="4">
        <v>198520</v>
      </c>
      <c r="Y278" s="4">
        <v>563350</v>
      </c>
      <c r="Z278" s="4">
        <v>120000</v>
      </c>
      <c r="AA278" s="4">
        <v>2400</v>
      </c>
      <c r="AB278" s="4">
        <v>86923</v>
      </c>
      <c r="AC278" s="4">
        <v>982853</v>
      </c>
      <c r="AD278" s="4">
        <v>619</v>
      </c>
      <c r="AE278" s="4">
        <v>2418</v>
      </c>
      <c r="AF278" s="4">
        <v>1072813</v>
      </c>
      <c r="AG278" s="6">
        <v>29175</v>
      </c>
      <c r="AH278" s="6">
        <v>28803</v>
      </c>
      <c r="AI278" s="6">
        <v>372</v>
      </c>
      <c r="AJ278" s="6">
        <v>-12031</v>
      </c>
      <c r="AK278" s="6">
        <v>-4.7</v>
      </c>
      <c r="AL278" s="4">
        <v>926</v>
      </c>
      <c r="AM278" s="4">
        <v>8329</v>
      </c>
      <c r="AN278" s="4">
        <v>1056</v>
      </c>
      <c r="AO278" s="6">
        <v>117875</v>
      </c>
      <c r="AP278" s="6">
        <v>26064</v>
      </c>
      <c r="AQ278" s="6">
        <v>91811</v>
      </c>
      <c r="AS278" s="6">
        <v>84.2</v>
      </c>
      <c r="AT278" s="6">
        <v>76.3</v>
      </c>
      <c r="AV278" s="4">
        <v>146</v>
      </c>
      <c r="AW278" s="4">
        <v>149</v>
      </c>
    </row>
    <row r="279" spans="1:49" x14ac:dyDescent="0.2">
      <c r="A279" s="1">
        <v>44448</v>
      </c>
      <c r="B279">
        <f t="shared" si="38"/>
        <v>19.260000000000002</v>
      </c>
      <c r="C279" s="1" t="s">
        <v>57</v>
      </c>
      <c r="D279" s="1" t="s">
        <v>63</v>
      </c>
      <c r="E279" s="1" t="s">
        <v>69</v>
      </c>
      <c r="F279" s="1" t="s">
        <v>48</v>
      </c>
      <c r="G279">
        <v>3579</v>
      </c>
      <c r="H279" s="4">
        <v>77.86</v>
      </c>
      <c r="I279" s="4">
        <v>110</v>
      </c>
      <c r="J279" s="4">
        <v>59</v>
      </c>
      <c r="K279" s="4">
        <v>135.47999999999999</v>
      </c>
      <c r="L279" s="4">
        <v>120</v>
      </c>
      <c r="M279" s="4">
        <v>74</v>
      </c>
      <c r="N279" s="4">
        <v>100</v>
      </c>
      <c r="O279" s="4">
        <v>61</v>
      </c>
      <c r="P279" s="4">
        <v>52.585176727092097</v>
      </c>
      <c r="Q279" s="4">
        <v>71.806089348722693</v>
      </c>
      <c r="R279" s="8"/>
      <c r="S279" s="7" t="s">
        <v>35</v>
      </c>
      <c r="T279" s="4">
        <v>438129</v>
      </c>
      <c r="U279" s="4">
        <v>762132</v>
      </c>
      <c r="V279" s="4">
        <v>2727</v>
      </c>
      <c r="W279" s="4">
        <v>122400</v>
      </c>
      <c r="X279" s="4">
        <v>198502</v>
      </c>
      <c r="Y279" s="4">
        <v>563630</v>
      </c>
      <c r="Z279" s="4">
        <v>120000</v>
      </c>
      <c r="AA279" s="4">
        <v>2400</v>
      </c>
      <c r="AB279" s="4">
        <v>91768</v>
      </c>
      <c r="AC279" s="4">
        <v>1127401</v>
      </c>
      <c r="AD279" s="4">
        <v>832</v>
      </c>
      <c r="AE279" s="4">
        <v>14442</v>
      </c>
      <c r="AF279" s="4">
        <v>1234443</v>
      </c>
      <c r="AG279" s="6">
        <v>33965</v>
      </c>
      <c r="AH279" s="6">
        <v>33545</v>
      </c>
      <c r="AI279" s="6">
        <v>420</v>
      </c>
      <c r="AJ279" s="6">
        <v>2311</v>
      </c>
      <c r="AK279" s="6">
        <v>0.9</v>
      </c>
      <c r="AL279" s="4">
        <v>1037</v>
      </c>
      <c r="AM279" s="4">
        <v>8158</v>
      </c>
      <c r="AN279" s="4">
        <v>1051</v>
      </c>
      <c r="AO279" s="6">
        <v>122476</v>
      </c>
      <c r="AP279" s="6">
        <v>25774</v>
      </c>
      <c r="AQ279" s="6">
        <v>96702</v>
      </c>
      <c r="AS279" s="6">
        <v>84.1</v>
      </c>
      <c r="AT279" s="6">
        <v>76.2</v>
      </c>
      <c r="AV279" s="4">
        <v>167</v>
      </c>
      <c r="AW279" s="4">
        <v>180</v>
      </c>
    </row>
    <row r="280" spans="1:49" x14ac:dyDescent="0.2">
      <c r="A280" s="1">
        <v>44447</v>
      </c>
      <c r="B280">
        <f t="shared" si="38"/>
        <v>19.260000000000002</v>
      </c>
      <c r="C280" s="1" t="s">
        <v>57</v>
      </c>
      <c r="D280" s="1" t="s">
        <v>63</v>
      </c>
      <c r="E280" s="1" t="s">
        <v>69</v>
      </c>
      <c r="F280" s="1" t="s">
        <v>48</v>
      </c>
      <c r="G280">
        <v>3591</v>
      </c>
      <c r="H280" s="4">
        <v>79.959999999999994</v>
      </c>
      <c r="I280" s="4">
        <v>110</v>
      </c>
      <c r="J280" s="4">
        <v>58</v>
      </c>
      <c r="K280" s="4">
        <v>138.21</v>
      </c>
      <c r="L280" s="4">
        <v>150</v>
      </c>
      <c r="M280" s="4">
        <v>75</v>
      </c>
      <c r="N280" s="4">
        <v>100</v>
      </c>
      <c r="O280" s="4">
        <v>61</v>
      </c>
      <c r="P280" s="4">
        <v>51.0833164440361</v>
      </c>
      <c r="Q280" s="4">
        <v>72.120642828007306</v>
      </c>
      <c r="R280" s="8"/>
      <c r="S280" s="7" t="s">
        <v>35</v>
      </c>
      <c r="T280" s="4">
        <v>441078</v>
      </c>
      <c r="U280" s="4">
        <v>756772</v>
      </c>
      <c r="V280" s="4">
        <v>2122</v>
      </c>
      <c r="W280" s="4">
        <v>122400</v>
      </c>
      <c r="X280" s="4">
        <v>198502</v>
      </c>
      <c r="Y280" s="4">
        <v>558270</v>
      </c>
      <c r="Z280" s="4">
        <v>120000</v>
      </c>
      <c r="AA280" s="4">
        <v>2400</v>
      </c>
      <c r="AB280" s="4">
        <v>99814</v>
      </c>
      <c r="AC280" s="4">
        <v>1131979</v>
      </c>
      <c r="AD280" s="4">
        <v>555</v>
      </c>
      <c r="AE280" s="4">
        <v>16054</v>
      </c>
      <c r="AF280" s="4">
        <v>1248402</v>
      </c>
      <c r="AG280" s="6">
        <v>35839</v>
      </c>
      <c r="AH280" s="6">
        <v>35337</v>
      </c>
      <c r="AI280" s="6">
        <v>502</v>
      </c>
      <c r="AJ280" s="6">
        <v>15357</v>
      </c>
      <c r="AK280" s="6">
        <v>6.2</v>
      </c>
      <c r="AL280" s="4">
        <v>1167</v>
      </c>
      <c r="AM280" s="4">
        <v>8149</v>
      </c>
      <c r="AN280" s="4">
        <v>1060</v>
      </c>
      <c r="AO280" s="6">
        <v>113091</v>
      </c>
      <c r="AP280" s="6">
        <v>25131</v>
      </c>
      <c r="AQ280" s="6">
        <v>87960</v>
      </c>
      <c r="AS280" s="6">
        <v>84.1</v>
      </c>
      <c r="AT280" s="6">
        <v>76</v>
      </c>
      <c r="AV280" s="4">
        <v>141</v>
      </c>
      <c r="AW280" s="4">
        <v>142</v>
      </c>
    </row>
    <row r="281" spans="1:49" x14ac:dyDescent="0.2">
      <c r="A281" s="1">
        <v>44446</v>
      </c>
      <c r="B281">
        <f t="shared" si="38"/>
        <v>19.260000000000002</v>
      </c>
      <c r="C281" s="1" t="s">
        <v>57</v>
      </c>
      <c r="D281" s="1" t="s">
        <v>63</v>
      </c>
      <c r="E281" s="1" t="s">
        <v>69</v>
      </c>
      <c r="F281" s="1" t="s">
        <v>48</v>
      </c>
      <c r="G281">
        <v>3596</v>
      </c>
      <c r="H281" s="4">
        <v>72.84</v>
      </c>
      <c r="I281" s="4">
        <v>110</v>
      </c>
      <c r="J281" s="4">
        <v>57</v>
      </c>
      <c r="K281" s="4">
        <v>134.9</v>
      </c>
      <c r="L281" s="4">
        <v>152</v>
      </c>
      <c r="M281" s="4">
        <v>76</v>
      </c>
      <c r="N281" s="4">
        <v>100</v>
      </c>
      <c r="O281" s="4">
        <v>61</v>
      </c>
      <c r="P281" s="4">
        <v>49.969934669285699</v>
      </c>
      <c r="Q281" s="4">
        <v>71.493561492395301</v>
      </c>
      <c r="R281" s="8"/>
      <c r="S281" s="7" t="s">
        <v>35</v>
      </c>
      <c r="T281" s="4">
        <v>412101</v>
      </c>
      <c r="U281" s="4">
        <v>686792</v>
      </c>
      <c r="V281" s="4">
        <v>3584</v>
      </c>
      <c r="W281" s="4">
        <v>122400</v>
      </c>
      <c r="X281" s="4">
        <v>198502</v>
      </c>
      <c r="Y281" s="4">
        <v>488290</v>
      </c>
      <c r="Z281" s="4">
        <v>120000</v>
      </c>
      <c r="AA281" s="4">
        <v>2400</v>
      </c>
      <c r="AB281" s="4">
        <v>113908</v>
      </c>
      <c r="AC281" s="4">
        <v>1039565</v>
      </c>
      <c r="AD281" s="4">
        <v>668</v>
      </c>
      <c r="AE281" s="4">
        <v>28975</v>
      </c>
      <c r="AF281" s="4">
        <v>1183116</v>
      </c>
      <c r="AG281" s="6">
        <v>38610</v>
      </c>
      <c r="AH281" s="6">
        <v>38127</v>
      </c>
      <c r="AI281" s="6">
        <v>483</v>
      </c>
      <c r="AJ281" s="6">
        <v>27779</v>
      </c>
      <c r="AK281" s="6">
        <v>11.4</v>
      </c>
      <c r="AL281" s="4">
        <v>1104</v>
      </c>
      <c r="AM281" s="4">
        <v>7993</v>
      </c>
      <c r="AN281" s="4">
        <v>1047</v>
      </c>
      <c r="AO281" s="6">
        <v>112472</v>
      </c>
      <c r="AP281" s="6">
        <v>26624</v>
      </c>
      <c r="AQ281" s="6">
        <v>85848</v>
      </c>
      <c r="AS281" s="6">
        <v>84</v>
      </c>
      <c r="AT281" s="6">
        <v>75.900000000000006</v>
      </c>
      <c r="AV281" s="4">
        <v>155</v>
      </c>
      <c r="AW281" s="4">
        <v>164</v>
      </c>
    </row>
    <row r="282" spans="1:49" x14ac:dyDescent="0.2">
      <c r="A282" s="1">
        <v>44445</v>
      </c>
      <c r="B282">
        <f t="shared" si="38"/>
        <v>19.260000000000002</v>
      </c>
      <c r="C282" s="1" t="s">
        <v>57</v>
      </c>
      <c r="D282" s="1" t="s">
        <v>63</v>
      </c>
      <c r="E282" s="1" t="s">
        <v>69</v>
      </c>
      <c r="F282" s="1" t="s">
        <v>48</v>
      </c>
      <c r="G282">
        <v>3585</v>
      </c>
      <c r="H282" s="4">
        <v>68.34</v>
      </c>
      <c r="I282" s="4">
        <v>110</v>
      </c>
      <c r="J282" s="4">
        <v>56</v>
      </c>
      <c r="K282" s="4">
        <v>127.77</v>
      </c>
      <c r="L282" s="4">
        <v>158</v>
      </c>
      <c r="M282" s="4">
        <v>80</v>
      </c>
      <c r="N282" s="4">
        <v>103</v>
      </c>
      <c r="O282" s="4">
        <v>61</v>
      </c>
      <c r="P282" s="4">
        <v>48.039796727762599</v>
      </c>
      <c r="Q282" s="4">
        <v>71.512619324029501</v>
      </c>
      <c r="R282" s="8"/>
      <c r="S282" s="7" t="s">
        <v>35</v>
      </c>
      <c r="T282" s="4">
        <v>341762</v>
      </c>
      <c r="U282" s="4">
        <v>687285</v>
      </c>
      <c r="V282" s="4">
        <v>2096</v>
      </c>
      <c r="W282" s="4">
        <v>122400</v>
      </c>
      <c r="X282" s="4">
        <v>198435</v>
      </c>
      <c r="Y282" s="4">
        <v>488850</v>
      </c>
      <c r="Z282" s="4">
        <v>120000</v>
      </c>
      <c r="AA282" s="4">
        <v>2400</v>
      </c>
      <c r="AB282" s="4">
        <v>99257</v>
      </c>
      <c r="AC282" s="4">
        <v>1260157</v>
      </c>
      <c r="AD282" s="4">
        <v>504</v>
      </c>
      <c r="AE282" s="4">
        <v>12738</v>
      </c>
      <c r="AF282" s="4">
        <v>1372656</v>
      </c>
      <c r="AG282" s="6">
        <v>44915</v>
      </c>
      <c r="AH282" s="6">
        <v>44332</v>
      </c>
      <c r="AI282" s="6">
        <v>583</v>
      </c>
      <c r="AJ282" s="6">
        <v>41910</v>
      </c>
      <c r="AK282" s="6">
        <v>17.6999999999999</v>
      </c>
      <c r="AL282" s="4">
        <v>1077</v>
      </c>
      <c r="AM282" s="4">
        <v>8049</v>
      </c>
      <c r="AN282" s="4">
        <v>1062</v>
      </c>
      <c r="AO282" s="6">
        <v>102713</v>
      </c>
      <c r="AP282" s="6">
        <v>22698</v>
      </c>
      <c r="AQ282" s="6">
        <v>80015</v>
      </c>
      <c r="AS282" s="6">
        <v>84</v>
      </c>
      <c r="AT282" s="6">
        <v>75.7</v>
      </c>
      <c r="AV282" s="4">
        <v>138</v>
      </c>
      <c r="AW282" s="4">
        <v>156</v>
      </c>
    </row>
    <row r="283" spans="1:49" x14ac:dyDescent="0.2">
      <c r="A283" s="1">
        <v>44444</v>
      </c>
      <c r="B283">
        <v>7.95</v>
      </c>
      <c r="C283" s="1" t="s">
        <v>57</v>
      </c>
      <c r="D283" s="1" t="s">
        <v>63</v>
      </c>
      <c r="E283" s="1" t="s">
        <v>69</v>
      </c>
      <c r="F283" s="1" t="s">
        <v>48</v>
      </c>
      <c r="G283">
        <v>3580</v>
      </c>
      <c r="H283" s="4">
        <v>98.1</v>
      </c>
      <c r="I283" s="4">
        <v>100</v>
      </c>
      <c r="J283" s="4">
        <v>94</v>
      </c>
      <c r="K283" s="4">
        <v>133.85</v>
      </c>
      <c r="L283" s="4">
        <v>155</v>
      </c>
      <c r="M283" s="4">
        <v>81</v>
      </c>
      <c r="N283" s="4">
        <v>95</v>
      </c>
      <c r="O283" s="4">
        <v>75</v>
      </c>
      <c r="P283" s="4">
        <v>73.830785331718999</v>
      </c>
      <c r="Q283" s="4">
        <v>86.835032452633598</v>
      </c>
      <c r="R283" s="4">
        <v>85</v>
      </c>
      <c r="S283" s="7" t="s">
        <v>35</v>
      </c>
      <c r="T283" s="4">
        <v>353645</v>
      </c>
      <c r="U283" s="4">
        <v>767415</v>
      </c>
      <c r="V283" s="4">
        <v>196</v>
      </c>
      <c r="W283" s="4">
        <v>122400</v>
      </c>
      <c r="X283" s="4">
        <v>198435</v>
      </c>
      <c r="Y283" s="4">
        <v>568980</v>
      </c>
      <c r="Z283" s="4">
        <v>120000</v>
      </c>
      <c r="AA283" s="4">
        <v>2400</v>
      </c>
      <c r="AB283" s="4">
        <v>77151</v>
      </c>
      <c r="AC283" s="4">
        <v>939716</v>
      </c>
      <c r="AD283" s="4">
        <v>196</v>
      </c>
      <c r="AE283" s="4">
        <v>7140</v>
      </c>
      <c r="AF283" s="4">
        <v>1024203</v>
      </c>
      <c r="AG283" s="6">
        <v>31799</v>
      </c>
      <c r="AH283" s="6">
        <v>31418</v>
      </c>
      <c r="AI283" s="6">
        <v>381</v>
      </c>
      <c r="AJ283" s="6">
        <v>26796</v>
      </c>
      <c r="AK283" s="6">
        <v>11.0999999999999</v>
      </c>
      <c r="AL283" s="4">
        <v>879</v>
      </c>
      <c r="AM283" s="4">
        <v>7762</v>
      </c>
      <c r="AN283" s="4">
        <v>1018</v>
      </c>
      <c r="AO283" s="6">
        <v>94988</v>
      </c>
      <c r="AP283" s="6">
        <v>21795</v>
      </c>
      <c r="AQ283" s="6">
        <v>73193</v>
      </c>
      <c r="AS283" s="6">
        <v>83.9</v>
      </c>
      <c r="AT283" s="6">
        <v>75.599999999999994</v>
      </c>
      <c r="AV283" s="4">
        <v>157</v>
      </c>
      <c r="AW283" s="4">
        <v>164</v>
      </c>
    </row>
    <row r="284" spans="1:49" x14ac:dyDescent="0.2">
      <c r="A284" s="1">
        <v>44443</v>
      </c>
      <c r="B284">
        <f>B283</f>
        <v>7.95</v>
      </c>
      <c r="C284" s="1" t="s">
        <v>57</v>
      </c>
      <c r="D284" s="1" t="s">
        <v>63</v>
      </c>
      <c r="E284" s="1" t="s">
        <v>69</v>
      </c>
      <c r="F284" s="1" t="s">
        <v>48</v>
      </c>
      <c r="G284">
        <v>3595</v>
      </c>
      <c r="H284" s="4">
        <v>96.78</v>
      </c>
      <c r="I284" s="4">
        <v>102</v>
      </c>
      <c r="J284" s="4">
        <v>90</v>
      </c>
      <c r="K284" s="4">
        <v>175.37</v>
      </c>
      <c r="L284" s="4">
        <v>106</v>
      </c>
      <c r="M284" s="4">
        <v>72</v>
      </c>
      <c r="N284" s="4">
        <v>94</v>
      </c>
      <c r="O284" s="4">
        <v>71</v>
      </c>
      <c r="P284" s="4">
        <v>60.093418156870797</v>
      </c>
      <c r="Q284" s="4">
        <v>76.160582646721593</v>
      </c>
      <c r="R284" s="4">
        <v>80</v>
      </c>
      <c r="S284" s="7" t="s">
        <v>35</v>
      </c>
      <c r="T284" s="4">
        <v>374155</v>
      </c>
      <c r="U284" s="4">
        <v>758815</v>
      </c>
      <c r="V284" s="4">
        <v>1387</v>
      </c>
      <c r="W284" s="4">
        <v>122400</v>
      </c>
      <c r="X284" s="4">
        <v>198435</v>
      </c>
      <c r="Y284" s="4">
        <v>560380</v>
      </c>
      <c r="Z284" s="4">
        <v>120000</v>
      </c>
      <c r="AA284" s="4">
        <v>2400</v>
      </c>
      <c r="AB284" s="4">
        <v>74719</v>
      </c>
      <c r="AC284" s="4">
        <v>658724</v>
      </c>
      <c r="AD284" s="4">
        <v>334</v>
      </c>
      <c r="AE284" s="4">
        <v>12989</v>
      </c>
      <c r="AF284" s="4">
        <v>746766</v>
      </c>
      <c r="AG284" s="6">
        <v>31804</v>
      </c>
      <c r="AH284" s="6">
        <v>31436</v>
      </c>
      <c r="AI284" s="6">
        <v>368</v>
      </c>
      <c r="AJ284" s="6">
        <v>18532</v>
      </c>
      <c r="AK284" s="6">
        <v>7.5999999999999899</v>
      </c>
      <c r="AL284" s="4">
        <v>951</v>
      </c>
      <c r="AM284" s="4">
        <v>7567</v>
      </c>
      <c r="AN284" s="4">
        <v>1019</v>
      </c>
      <c r="AO284" s="6">
        <v>169607</v>
      </c>
      <c r="AP284" s="6">
        <v>41054</v>
      </c>
      <c r="AQ284" s="6">
        <v>128553</v>
      </c>
      <c r="AS284" s="6">
        <v>83.9</v>
      </c>
      <c r="AT284" s="6">
        <v>75.400000000000006</v>
      </c>
      <c r="AV284" s="4">
        <v>135</v>
      </c>
      <c r="AW284" s="4">
        <v>144</v>
      </c>
    </row>
    <row r="285" spans="1:49" x14ac:dyDescent="0.2">
      <c r="A285" s="1">
        <v>44442</v>
      </c>
      <c r="B285">
        <f t="shared" ref="B285:B289" si="39">B284</f>
        <v>7.95</v>
      </c>
      <c r="C285" s="1" t="s">
        <v>57</v>
      </c>
      <c r="D285" s="1" t="s">
        <v>63</v>
      </c>
      <c r="E285" s="1" t="s">
        <v>69</v>
      </c>
      <c r="F285" s="1" t="s">
        <v>48</v>
      </c>
      <c r="G285">
        <v>3608</v>
      </c>
      <c r="H285" s="4">
        <v>83.12</v>
      </c>
      <c r="I285" s="4">
        <v>110</v>
      </c>
      <c r="J285" s="4">
        <v>58</v>
      </c>
      <c r="K285" s="4">
        <v>149.15</v>
      </c>
      <c r="L285" s="4">
        <v>120</v>
      </c>
      <c r="M285" s="4">
        <v>73</v>
      </c>
      <c r="N285" s="4">
        <v>99</v>
      </c>
      <c r="O285" s="4">
        <v>61</v>
      </c>
      <c r="P285" s="4">
        <v>49.643765169587297</v>
      </c>
      <c r="Q285" s="4">
        <v>68.259239526444205</v>
      </c>
      <c r="R285" s="4">
        <v>73</v>
      </c>
      <c r="S285" s="7" t="s">
        <v>35</v>
      </c>
      <c r="T285" s="4">
        <v>400620</v>
      </c>
      <c r="U285" s="4">
        <v>748565</v>
      </c>
      <c r="V285" s="4">
        <v>2393</v>
      </c>
      <c r="W285" s="4">
        <v>122400</v>
      </c>
      <c r="X285" s="4">
        <v>198435</v>
      </c>
      <c r="Y285" s="4">
        <v>550130</v>
      </c>
      <c r="Z285" s="4">
        <v>120000</v>
      </c>
      <c r="AA285" s="4">
        <v>2400</v>
      </c>
      <c r="AB285" s="4">
        <v>78812</v>
      </c>
      <c r="AC285" s="4">
        <v>1100441</v>
      </c>
      <c r="AD285" s="4">
        <v>654</v>
      </c>
      <c r="AE285" s="4">
        <v>12103</v>
      </c>
      <c r="AF285" s="4">
        <v>1192010</v>
      </c>
      <c r="AG285" s="6">
        <v>38626</v>
      </c>
      <c r="AH285" s="6">
        <v>38165</v>
      </c>
      <c r="AI285" s="6">
        <v>461</v>
      </c>
      <c r="AJ285" s="6">
        <v>13400</v>
      </c>
      <c r="AK285" s="6">
        <v>5.5</v>
      </c>
      <c r="AL285" s="4">
        <v>928</v>
      </c>
      <c r="AM285" s="4">
        <v>7682</v>
      </c>
      <c r="AN285" s="4">
        <v>1034</v>
      </c>
      <c r="AO285" s="6">
        <v>145856</v>
      </c>
      <c r="AP285" s="6">
        <v>35266</v>
      </c>
      <c r="AQ285" s="6">
        <v>110590</v>
      </c>
      <c r="AS285" s="6">
        <v>83.8</v>
      </c>
      <c r="AT285" s="6">
        <v>75.2</v>
      </c>
      <c r="AV285" s="4">
        <v>148</v>
      </c>
      <c r="AW285" s="4">
        <v>151</v>
      </c>
    </row>
    <row r="286" spans="1:49" x14ac:dyDescent="0.2">
      <c r="A286" s="1">
        <v>44441</v>
      </c>
      <c r="B286">
        <f t="shared" si="39"/>
        <v>7.95</v>
      </c>
      <c r="C286" s="1" t="s">
        <v>57</v>
      </c>
      <c r="D286" s="1" t="s">
        <v>63</v>
      </c>
      <c r="E286" s="1" t="s">
        <v>69</v>
      </c>
      <c r="F286" s="1" t="s">
        <v>48</v>
      </c>
      <c r="G286">
        <v>3589</v>
      </c>
      <c r="H286" s="4">
        <v>78.959999999999994</v>
      </c>
      <c r="I286" s="4">
        <v>112</v>
      </c>
      <c r="J286" s="4">
        <v>55</v>
      </c>
      <c r="K286" s="4">
        <v>137.72</v>
      </c>
      <c r="L286" s="4">
        <v>125</v>
      </c>
      <c r="M286" s="4">
        <v>76</v>
      </c>
      <c r="N286" s="4">
        <v>100</v>
      </c>
      <c r="O286" s="4">
        <v>57</v>
      </c>
      <c r="P286" s="4">
        <v>49.258583297932603</v>
      </c>
      <c r="Q286" s="4">
        <v>65.085337519941802</v>
      </c>
      <c r="R286" s="4">
        <v>73</v>
      </c>
      <c r="S286" s="7" t="s">
        <v>35</v>
      </c>
      <c r="T286" s="4">
        <v>431583</v>
      </c>
      <c r="U286" s="4">
        <v>720242</v>
      </c>
      <c r="V286" s="4">
        <v>2950</v>
      </c>
      <c r="W286" s="4">
        <v>122400</v>
      </c>
      <c r="X286" s="4">
        <v>198422</v>
      </c>
      <c r="Y286" s="4">
        <v>521820</v>
      </c>
      <c r="Z286" s="4">
        <v>120000</v>
      </c>
      <c r="AA286" s="4">
        <v>2400</v>
      </c>
      <c r="AB286" s="4">
        <v>88912</v>
      </c>
      <c r="AC286" s="4">
        <v>1061134</v>
      </c>
      <c r="AD286" s="4">
        <v>1240</v>
      </c>
      <c r="AE286" s="4">
        <v>10421</v>
      </c>
      <c r="AF286" s="4">
        <v>1161707</v>
      </c>
      <c r="AG286" s="6">
        <v>42310</v>
      </c>
      <c r="AH286" s="6">
        <v>41753</v>
      </c>
      <c r="AI286" s="6">
        <v>557</v>
      </c>
      <c r="AJ286" s="6">
        <v>10020</v>
      </c>
      <c r="AK286" s="6">
        <v>4.0999999999999899</v>
      </c>
      <c r="AL286" s="4">
        <v>999</v>
      </c>
      <c r="AM286" s="4">
        <v>7633</v>
      </c>
      <c r="AN286" s="4">
        <v>1038</v>
      </c>
      <c r="AO286" s="6">
        <v>159377</v>
      </c>
      <c r="AP286" s="6">
        <v>40002</v>
      </c>
      <c r="AQ286" s="6">
        <v>119375</v>
      </c>
      <c r="AS286" s="6">
        <v>83.8</v>
      </c>
      <c r="AT286" s="6">
        <v>75</v>
      </c>
      <c r="AV286" s="4">
        <v>129</v>
      </c>
      <c r="AW286" s="4">
        <v>137</v>
      </c>
    </row>
    <row r="287" spans="1:49" x14ac:dyDescent="0.2">
      <c r="A287" s="1">
        <v>44440</v>
      </c>
      <c r="B287">
        <f t="shared" si="39"/>
        <v>7.95</v>
      </c>
      <c r="C287" s="1" t="s">
        <v>57</v>
      </c>
      <c r="D287" s="1" t="s">
        <v>63</v>
      </c>
      <c r="E287" s="1" t="s">
        <v>69</v>
      </c>
      <c r="F287" s="1" t="s">
        <v>48</v>
      </c>
      <c r="G287">
        <v>3552</v>
      </c>
      <c r="H287" s="4">
        <v>75.48</v>
      </c>
      <c r="I287" s="4">
        <v>112</v>
      </c>
      <c r="J287" s="4">
        <v>54</v>
      </c>
      <c r="K287" s="4">
        <v>133.18</v>
      </c>
      <c r="L287" s="4">
        <v>120</v>
      </c>
      <c r="M287" s="4">
        <v>74</v>
      </c>
      <c r="N287" s="4">
        <v>98</v>
      </c>
      <c r="O287" s="4">
        <v>56</v>
      </c>
      <c r="P287" s="4">
        <v>47.164193933193602</v>
      </c>
      <c r="Q287" s="4">
        <v>62.0445926436131</v>
      </c>
      <c r="R287" s="4">
        <v>69</v>
      </c>
      <c r="S287" s="7" t="s">
        <v>35</v>
      </c>
      <c r="T287" s="4">
        <v>373842</v>
      </c>
      <c r="U287" s="4">
        <v>718582</v>
      </c>
      <c r="V287" s="4">
        <v>2331</v>
      </c>
      <c r="W287" s="4">
        <v>122400</v>
      </c>
      <c r="X287" s="4">
        <v>198422</v>
      </c>
      <c r="Y287" s="4">
        <v>520160</v>
      </c>
      <c r="Z287" s="4">
        <v>120000</v>
      </c>
      <c r="AA287" s="4">
        <v>2400</v>
      </c>
      <c r="AB287" s="4">
        <v>98332</v>
      </c>
      <c r="AC287" s="4">
        <v>920455</v>
      </c>
      <c r="AD287" s="4">
        <v>859</v>
      </c>
      <c r="AE287" s="4">
        <v>9808</v>
      </c>
      <c r="AF287" s="4">
        <v>1029454</v>
      </c>
      <c r="AG287" s="6">
        <v>43515</v>
      </c>
      <c r="AH287" s="6">
        <v>42980</v>
      </c>
      <c r="AI287" s="6">
        <v>535</v>
      </c>
      <c r="AJ287" s="6">
        <v>6443</v>
      </c>
      <c r="AK287" s="6">
        <v>2.7</v>
      </c>
      <c r="AL287" s="4">
        <v>1084</v>
      </c>
      <c r="AM287" s="4">
        <v>7693</v>
      </c>
      <c r="AN287" s="4">
        <v>1030</v>
      </c>
      <c r="AO287" s="6">
        <v>157473</v>
      </c>
      <c r="AP287" s="6">
        <v>44088</v>
      </c>
      <c r="AQ287" s="6">
        <v>113385</v>
      </c>
      <c r="AS287" s="6">
        <v>83.7</v>
      </c>
      <c r="AT287" s="6">
        <v>74.8</v>
      </c>
      <c r="AV287" s="4">
        <v>118</v>
      </c>
      <c r="AW287" s="4">
        <v>125</v>
      </c>
    </row>
    <row r="288" spans="1:49" x14ac:dyDescent="0.2">
      <c r="A288" s="1">
        <v>44439</v>
      </c>
      <c r="B288">
        <f t="shared" si="39"/>
        <v>7.95</v>
      </c>
      <c r="C288" s="1" t="s">
        <v>57</v>
      </c>
      <c r="D288" s="1" t="s">
        <v>63</v>
      </c>
      <c r="E288" s="1" t="s">
        <v>69</v>
      </c>
      <c r="F288" s="1" t="s">
        <v>48</v>
      </c>
      <c r="G288">
        <v>3546</v>
      </c>
      <c r="H288" s="4">
        <v>68.38</v>
      </c>
      <c r="I288" s="4">
        <v>113</v>
      </c>
      <c r="J288" s="4">
        <v>49</v>
      </c>
      <c r="K288" s="4">
        <v>126.41</v>
      </c>
      <c r="L288" s="4">
        <v>115</v>
      </c>
      <c r="M288" s="4">
        <v>75</v>
      </c>
      <c r="N288" s="4">
        <v>99</v>
      </c>
      <c r="O288" s="4">
        <v>55</v>
      </c>
      <c r="P288" s="4">
        <v>44.894618436331797</v>
      </c>
      <c r="Q288" s="4">
        <v>60.770340431427002</v>
      </c>
      <c r="R288" s="4">
        <v>67</v>
      </c>
      <c r="S288" s="7" t="s">
        <v>32</v>
      </c>
      <c r="T288" s="4">
        <v>333750</v>
      </c>
      <c r="U288" s="4">
        <v>698152</v>
      </c>
      <c r="V288" s="4">
        <v>3726</v>
      </c>
      <c r="W288" s="4">
        <v>122400</v>
      </c>
      <c r="X288" s="4">
        <v>198422</v>
      </c>
      <c r="Y288" s="4">
        <v>499730</v>
      </c>
      <c r="Z288" s="4">
        <v>120000</v>
      </c>
      <c r="AA288" s="4">
        <v>2400</v>
      </c>
      <c r="AB288" s="4">
        <v>100053</v>
      </c>
      <c r="AC288" s="4">
        <v>820015</v>
      </c>
      <c r="AD288" s="4">
        <v>610</v>
      </c>
      <c r="AE288" s="4">
        <v>12802</v>
      </c>
      <c r="AF288" s="4">
        <v>933480</v>
      </c>
      <c r="AG288" s="6">
        <v>45206</v>
      </c>
      <c r="AH288" s="6">
        <v>44606</v>
      </c>
      <c r="AI288" s="6">
        <v>600</v>
      </c>
      <c r="AJ288" s="6">
        <v>1731</v>
      </c>
      <c r="AK288" s="6">
        <v>0.69999999999999896</v>
      </c>
      <c r="AL288" s="4">
        <v>1003</v>
      </c>
      <c r="AM288" s="4">
        <v>7689</v>
      </c>
      <c r="AN288" s="4">
        <v>1014</v>
      </c>
      <c r="AO288" s="6">
        <v>159301</v>
      </c>
      <c r="AP288" s="6">
        <v>39899</v>
      </c>
      <c r="AQ288" s="6">
        <v>119402</v>
      </c>
      <c r="AS288" s="6">
        <v>83.6</v>
      </c>
      <c r="AT288" s="6">
        <v>74.599999999999994</v>
      </c>
      <c r="AV288" s="4">
        <v>117</v>
      </c>
      <c r="AW288" s="4">
        <v>126</v>
      </c>
    </row>
    <row r="289" spans="1:49" x14ac:dyDescent="0.2">
      <c r="A289" s="1">
        <v>44438</v>
      </c>
      <c r="B289">
        <f t="shared" si="39"/>
        <v>7.95</v>
      </c>
      <c r="C289" s="1" t="s">
        <v>57</v>
      </c>
      <c r="D289" s="1" t="s">
        <v>63</v>
      </c>
      <c r="E289" s="1" t="s">
        <v>69</v>
      </c>
      <c r="F289" s="1" t="s">
        <v>48</v>
      </c>
      <c r="G289">
        <v>3521</v>
      </c>
      <c r="H289" s="4">
        <v>110.66</v>
      </c>
      <c r="I289" s="4">
        <v>116</v>
      </c>
      <c r="J289" s="4">
        <v>25</v>
      </c>
      <c r="K289" s="4">
        <v>120.17</v>
      </c>
      <c r="L289" s="4">
        <v>148</v>
      </c>
      <c r="M289" s="4">
        <v>79</v>
      </c>
      <c r="N289" s="4">
        <v>86</v>
      </c>
      <c r="O289" s="4">
        <v>47</v>
      </c>
      <c r="P289" s="4">
        <v>34.743621642909197</v>
      </c>
      <c r="Q289" s="4">
        <v>43.933676550986902</v>
      </c>
      <c r="R289" s="4">
        <v>70</v>
      </c>
      <c r="S289" s="7" t="s">
        <v>32</v>
      </c>
      <c r="T289" s="4">
        <v>239905</v>
      </c>
      <c r="U289" s="4">
        <v>758152</v>
      </c>
      <c r="V289" s="4">
        <v>95</v>
      </c>
      <c r="W289" s="4">
        <v>122400</v>
      </c>
      <c r="X289" s="4">
        <v>198422</v>
      </c>
      <c r="Y289" s="4">
        <v>559730</v>
      </c>
      <c r="Z289" s="4">
        <v>120000</v>
      </c>
      <c r="AA289" s="4">
        <v>2400</v>
      </c>
      <c r="AB289" s="4">
        <v>78719</v>
      </c>
      <c r="AC289" s="4">
        <v>599551</v>
      </c>
      <c r="AD289" s="4">
        <v>95</v>
      </c>
      <c r="AE289" s="4">
        <v>14471</v>
      </c>
      <c r="AF289" s="4">
        <v>692836</v>
      </c>
      <c r="AG289" s="6">
        <v>34755</v>
      </c>
      <c r="AH289" s="6">
        <v>34304</v>
      </c>
      <c r="AI289" s="6">
        <v>451</v>
      </c>
      <c r="AJ289" s="6">
        <v>-6042</v>
      </c>
      <c r="AK289" s="6">
        <v>-2.5</v>
      </c>
      <c r="AL289" s="4">
        <v>997</v>
      </c>
      <c r="AM289" s="4">
        <v>7350</v>
      </c>
      <c r="AN289" s="4">
        <v>984</v>
      </c>
      <c r="AO289" s="6">
        <v>86291</v>
      </c>
      <c r="AP289" s="6">
        <v>19643</v>
      </c>
      <c r="AQ289" s="6">
        <v>66648</v>
      </c>
      <c r="AS289" s="6">
        <v>83.5</v>
      </c>
      <c r="AT289" s="6">
        <v>74.400000000000006</v>
      </c>
      <c r="AV289" s="4">
        <v>107</v>
      </c>
      <c r="AW289" s="4">
        <v>109</v>
      </c>
    </row>
    <row r="290" spans="1:49" x14ac:dyDescent="0.2">
      <c r="A290" s="1">
        <v>44437</v>
      </c>
      <c r="B290">
        <v>11.19</v>
      </c>
      <c r="C290" s="1" t="s">
        <v>57</v>
      </c>
      <c r="D290" s="1" t="s">
        <v>63</v>
      </c>
      <c r="E290" s="1" t="s">
        <v>69</v>
      </c>
      <c r="F290" s="1" t="s">
        <v>48</v>
      </c>
      <c r="G290">
        <v>3494</v>
      </c>
      <c r="H290" s="4">
        <v>114.21</v>
      </c>
      <c r="I290" s="4">
        <v>98</v>
      </c>
      <c r="J290" s="4">
        <v>91</v>
      </c>
      <c r="K290" s="4">
        <v>141.9</v>
      </c>
      <c r="L290" s="4">
        <v>132</v>
      </c>
      <c r="M290" s="4">
        <v>78</v>
      </c>
      <c r="N290" s="4">
        <v>87</v>
      </c>
      <c r="O290" s="4">
        <v>75</v>
      </c>
      <c r="P290" s="4">
        <v>78.077281401982304</v>
      </c>
      <c r="Q290" s="4">
        <v>84.212179366676907</v>
      </c>
      <c r="R290" s="4">
        <v>80</v>
      </c>
      <c r="S290" s="7" t="s">
        <v>32</v>
      </c>
      <c r="T290" s="4">
        <v>296686</v>
      </c>
      <c r="U290" s="4">
        <v>762152</v>
      </c>
      <c r="V290" s="4">
        <v>73</v>
      </c>
      <c r="W290" s="4">
        <v>122400</v>
      </c>
      <c r="X290" s="4">
        <v>198422</v>
      </c>
      <c r="Y290" s="4">
        <v>563730</v>
      </c>
      <c r="Z290" s="4">
        <v>120000</v>
      </c>
      <c r="AA290" s="4">
        <v>2400</v>
      </c>
      <c r="AB290" s="4">
        <v>70373</v>
      </c>
      <c r="AC290" s="4">
        <v>627355</v>
      </c>
      <c r="AD290" s="4">
        <v>73</v>
      </c>
      <c r="AE290" s="4">
        <v>13419</v>
      </c>
      <c r="AF290" s="4">
        <v>711220</v>
      </c>
      <c r="AG290" s="6">
        <v>26132</v>
      </c>
      <c r="AH290" s="6">
        <v>25812</v>
      </c>
      <c r="AI290" s="6">
        <v>320</v>
      </c>
      <c r="AJ290" s="6">
        <v>1726</v>
      </c>
      <c r="AK290" s="6">
        <v>0.69999999999999896</v>
      </c>
      <c r="AL290" s="4">
        <v>857</v>
      </c>
      <c r="AM290" s="4">
        <v>7121</v>
      </c>
      <c r="AN290" s="4">
        <v>971</v>
      </c>
      <c r="AO290" s="6">
        <v>103830</v>
      </c>
      <c r="AP290" s="6">
        <v>24390</v>
      </c>
      <c r="AQ290" s="6">
        <v>79440</v>
      </c>
      <c r="AS290" s="6">
        <v>83.5</v>
      </c>
      <c r="AT290" s="6">
        <v>74.3</v>
      </c>
      <c r="AV290" s="4">
        <v>130</v>
      </c>
      <c r="AW290" s="4">
        <v>139</v>
      </c>
    </row>
    <row r="291" spans="1:49" x14ac:dyDescent="0.2">
      <c r="A291" s="1">
        <v>44436</v>
      </c>
      <c r="B291">
        <f>B290</f>
        <v>11.19</v>
      </c>
      <c r="C291" s="1" t="s">
        <v>57</v>
      </c>
      <c r="D291" s="1" t="s">
        <v>63</v>
      </c>
      <c r="E291" s="1" t="s">
        <v>69</v>
      </c>
      <c r="F291" s="1" t="s">
        <v>48</v>
      </c>
      <c r="G291">
        <v>3469</v>
      </c>
      <c r="H291" s="4">
        <v>97.96</v>
      </c>
      <c r="I291" s="4">
        <v>100</v>
      </c>
      <c r="J291" s="4">
        <v>86</v>
      </c>
      <c r="K291" s="4">
        <v>176.48</v>
      </c>
      <c r="L291" s="4">
        <v>110</v>
      </c>
      <c r="M291" s="4">
        <v>69</v>
      </c>
      <c r="N291" s="4">
        <v>89</v>
      </c>
      <c r="O291" s="4">
        <v>72</v>
      </c>
      <c r="P291" s="4">
        <v>62.521001472197298</v>
      </c>
      <c r="Q291" s="4">
        <v>72.635498209908107</v>
      </c>
      <c r="R291" s="4">
        <v>73</v>
      </c>
      <c r="S291" s="7" t="s">
        <v>32</v>
      </c>
      <c r="T291" s="4">
        <v>284325</v>
      </c>
      <c r="U291" s="4">
        <v>751792</v>
      </c>
      <c r="V291" s="4">
        <v>172</v>
      </c>
      <c r="W291" s="4">
        <v>122400</v>
      </c>
      <c r="X291" s="4">
        <v>198422</v>
      </c>
      <c r="Y291" s="4">
        <v>553370</v>
      </c>
      <c r="Z291" s="4">
        <v>120000</v>
      </c>
      <c r="AA291" s="4">
        <v>2400</v>
      </c>
      <c r="AB291" s="4">
        <v>56600</v>
      </c>
      <c r="AC291" s="4">
        <v>631023</v>
      </c>
      <c r="AD291" s="4">
        <v>172</v>
      </c>
      <c r="AE291" s="4">
        <v>10008</v>
      </c>
      <c r="AF291" s="4">
        <v>697803</v>
      </c>
      <c r="AG291" s="6">
        <v>27594</v>
      </c>
      <c r="AH291" s="6">
        <v>27286</v>
      </c>
      <c r="AI291" s="6">
        <v>308</v>
      </c>
      <c r="AJ291" s="6">
        <v>7730</v>
      </c>
      <c r="AK291" s="6">
        <v>3.2999999999999901</v>
      </c>
      <c r="AL291" s="4">
        <v>864</v>
      </c>
      <c r="AM291" s="4">
        <v>6991</v>
      </c>
      <c r="AN291" s="4">
        <v>953</v>
      </c>
      <c r="AO291" s="6">
        <v>176959</v>
      </c>
      <c r="AP291" s="6">
        <v>43271</v>
      </c>
      <c r="AQ291" s="6">
        <v>133688</v>
      </c>
      <c r="AS291" s="6">
        <v>83.5</v>
      </c>
      <c r="AT291" s="6">
        <v>74.2</v>
      </c>
      <c r="AV291" s="4">
        <v>126</v>
      </c>
      <c r="AW291" s="4">
        <v>134</v>
      </c>
    </row>
    <row r="292" spans="1:49" x14ac:dyDescent="0.2">
      <c r="A292" s="1">
        <v>44435</v>
      </c>
      <c r="B292">
        <f t="shared" ref="B292:B296" si="40">B291</f>
        <v>11.19</v>
      </c>
      <c r="C292" s="1" t="s">
        <v>57</v>
      </c>
      <c r="D292" s="1" t="s">
        <v>63</v>
      </c>
      <c r="E292" s="1" t="s">
        <v>69</v>
      </c>
      <c r="F292" s="1" t="s">
        <v>48</v>
      </c>
      <c r="G292">
        <v>3429</v>
      </c>
      <c r="H292" s="4">
        <v>86.12</v>
      </c>
      <c r="I292" s="4">
        <v>110</v>
      </c>
      <c r="J292" s="4">
        <v>51</v>
      </c>
      <c r="K292" s="4">
        <v>154.66</v>
      </c>
      <c r="L292" s="4">
        <v>122</v>
      </c>
      <c r="M292" s="4">
        <v>73</v>
      </c>
      <c r="N292" s="4">
        <v>97</v>
      </c>
      <c r="O292" s="4">
        <v>59</v>
      </c>
      <c r="P292" s="4">
        <v>47.9549686226676</v>
      </c>
      <c r="Q292" s="4">
        <v>61.557775733616303</v>
      </c>
      <c r="R292" s="4">
        <v>70</v>
      </c>
      <c r="S292" s="7" t="s">
        <v>32</v>
      </c>
      <c r="T292" s="4">
        <v>373782</v>
      </c>
      <c r="U292" s="4">
        <v>752152</v>
      </c>
      <c r="V292" s="4">
        <v>2089</v>
      </c>
      <c r="W292" s="4">
        <v>122400</v>
      </c>
      <c r="X292" s="4">
        <v>198422</v>
      </c>
      <c r="Y292" s="4">
        <v>553730</v>
      </c>
      <c r="Z292" s="4">
        <v>120000</v>
      </c>
      <c r="AA292" s="4">
        <v>2400</v>
      </c>
      <c r="AB292" s="4">
        <v>79020</v>
      </c>
      <c r="AC292" s="4">
        <v>805752</v>
      </c>
      <c r="AD292" s="4">
        <v>791</v>
      </c>
      <c r="AE292" s="4">
        <v>10417</v>
      </c>
      <c r="AF292" s="4">
        <v>895980</v>
      </c>
      <c r="AG292" s="6">
        <v>33735</v>
      </c>
      <c r="AH292" s="6">
        <v>33325</v>
      </c>
      <c r="AI292" s="6">
        <v>410</v>
      </c>
      <c r="AJ292" s="6">
        <v>12111</v>
      </c>
      <c r="AK292" s="6">
        <v>5.2</v>
      </c>
      <c r="AL292" s="4">
        <v>945</v>
      </c>
      <c r="AM292" s="4">
        <v>7096</v>
      </c>
      <c r="AN292" s="4">
        <v>988</v>
      </c>
      <c r="AO292" s="6">
        <v>176393</v>
      </c>
      <c r="AP292" s="6">
        <v>44937</v>
      </c>
      <c r="AQ292" s="6">
        <v>131456</v>
      </c>
      <c r="AS292" s="6">
        <v>83.4</v>
      </c>
      <c r="AT292" s="6">
        <v>73.900000000000006</v>
      </c>
      <c r="AV292" s="4">
        <v>129</v>
      </c>
      <c r="AW292" s="4">
        <v>138</v>
      </c>
    </row>
    <row r="293" spans="1:49" x14ac:dyDescent="0.2">
      <c r="A293" s="1">
        <v>44434</v>
      </c>
      <c r="B293">
        <f t="shared" si="40"/>
        <v>11.19</v>
      </c>
      <c r="C293" s="1" t="s">
        <v>57</v>
      </c>
      <c r="D293" s="1" t="s">
        <v>63</v>
      </c>
      <c r="E293" s="1" t="s">
        <v>69</v>
      </c>
      <c r="F293" s="1" t="s">
        <v>48</v>
      </c>
      <c r="G293">
        <v>3405</v>
      </c>
      <c r="H293" s="4">
        <v>85.68</v>
      </c>
      <c r="I293" s="4">
        <v>112</v>
      </c>
      <c r="J293" s="4">
        <v>50</v>
      </c>
      <c r="K293" s="4">
        <v>140.33000000000001</v>
      </c>
      <c r="L293" s="4">
        <v>123</v>
      </c>
      <c r="M293" s="4">
        <v>76</v>
      </c>
      <c r="N293" s="4">
        <v>95</v>
      </c>
      <c r="O293" s="4">
        <v>56</v>
      </c>
      <c r="P293" s="4">
        <v>47.255682106090198</v>
      </c>
      <c r="Q293" s="4">
        <v>59.744916286990403</v>
      </c>
      <c r="R293" s="4">
        <v>69</v>
      </c>
      <c r="S293" s="7" t="s">
        <v>32</v>
      </c>
      <c r="T293" s="4">
        <v>406030</v>
      </c>
      <c r="U293" s="4">
        <v>747435</v>
      </c>
      <c r="V293" s="4">
        <v>2370</v>
      </c>
      <c r="W293" s="4">
        <v>122400</v>
      </c>
      <c r="X293" s="4">
        <v>198705</v>
      </c>
      <c r="Y293" s="4">
        <v>548730</v>
      </c>
      <c r="Z293" s="4">
        <v>120000</v>
      </c>
      <c r="AA293" s="4">
        <v>2400</v>
      </c>
      <c r="AB293" s="4">
        <v>84014</v>
      </c>
      <c r="AC293" s="4">
        <v>864159</v>
      </c>
      <c r="AD293" s="4">
        <v>952</v>
      </c>
      <c r="AE293" s="4">
        <v>5999</v>
      </c>
      <c r="AF293" s="4">
        <v>955124</v>
      </c>
      <c r="AG293" s="6">
        <v>37609</v>
      </c>
      <c r="AH293" s="6">
        <v>37113</v>
      </c>
      <c r="AI293" s="6">
        <v>496</v>
      </c>
      <c r="AJ293" s="6">
        <v>13854</v>
      </c>
      <c r="AK293" s="6">
        <v>6</v>
      </c>
      <c r="AL293" s="4">
        <v>957</v>
      </c>
      <c r="AM293" s="4">
        <v>7042</v>
      </c>
      <c r="AN293" s="4">
        <v>982</v>
      </c>
      <c r="AO293" s="6">
        <v>200076</v>
      </c>
      <c r="AP293" s="6">
        <v>55140</v>
      </c>
      <c r="AQ293" s="6">
        <v>144936</v>
      </c>
      <c r="AS293" s="6">
        <v>83.3</v>
      </c>
      <c r="AT293" s="6">
        <v>73.7</v>
      </c>
      <c r="AV293" s="4">
        <v>116</v>
      </c>
      <c r="AW293" s="4">
        <v>125</v>
      </c>
    </row>
    <row r="294" spans="1:49" x14ac:dyDescent="0.2">
      <c r="A294" s="1">
        <v>44433</v>
      </c>
      <c r="B294">
        <f t="shared" si="40"/>
        <v>11.19</v>
      </c>
      <c r="C294" s="1" t="s">
        <v>57</v>
      </c>
      <c r="D294" s="1" t="s">
        <v>63</v>
      </c>
      <c r="E294" s="1" t="s">
        <v>69</v>
      </c>
      <c r="F294" s="1" t="s">
        <v>48</v>
      </c>
      <c r="G294">
        <v>3383</v>
      </c>
      <c r="H294" s="4">
        <v>91.39</v>
      </c>
      <c r="I294" s="4">
        <v>112</v>
      </c>
      <c r="J294" s="4">
        <v>50</v>
      </c>
      <c r="K294" s="4">
        <v>140.30000000000001</v>
      </c>
      <c r="L294" s="4">
        <v>146</v>
      </c>
      <c r="M294" s="4">
        <v>76</v>
      </c>
      <c r="N294" s="4">
        <v>95</v>
      </c>
      <c r="O294" s="4">
        <v>55</v>
      </c>
      <c r="P294" s="4">
        <v>46.999566767404403</v>
      </c>
      <c r="Q294" s="4">
        <v>59.771261466889001</v>
      </c>
      <c r="R294" s="4">
        <v>68</v>
      </c>
      <c r="S294" s="7" t="s">
        <v>32</v>
      </c>
      <c r="T294" s="4">
        <v>408032</v>
      </c>
      <c r="U294" s="4">
        <v>747435</v>
      </c>
      <c r="V294" s="4">
        <v>2989</v>
      </c>
      <c r="W294" s="4">
        <v>122400</v>
      </c>
      <c r="X294" s="4">
        <v>198705</v>
      </c>
      <c r="Y294" s="4">
        <v>548730</v>
      </c>
      <c r="Z294" s="4">
        <v>120000</v>
      </c>
      <c r="AA294" s="4">
        <v>2400</v>
      </c>
      <c r="AB294" s="4">
        <v>96534</v>
      </c>
      <c r="AC294" s="4">
        <v>820255</v>
      </c>
      <c r="AD294" s="4">
        <v>1292</v>
      </c>
      <c r="AE294" s="4">
        <v>13511</v>
      </c>
      <c r="AF294" s="4">
        <v>931592</v>
      </c>
      <c r="AG294" s="6">
        <v>38769</v>
      </c>
      <c r="AH294" s="6">
        <v>38286</v>
      </c>
      <c r="AI294" s="6">
        <v>483</v>
      </c>
      <c r="AJ294" s="6">
        <v>17494</v>
      </c>
      <c r="AK294" s="6">
        <v>7.7999999999999901</v>
      </c>
      <c r="AL294" s="4">
        <v>1036</v>
      </c>
      <c r="AM294" s="4">
        <v>6997</v>
      </c>
      <c r="AN294" s="4">
        <v>974</v>
      </c>
      <c r="AO294" s="6">
        <v>229781</v>
      </c>
      <c r="AP294" s="6">
        <v>68076</v>
      </c>
      <c r="AQ294" s="6">
        <v>161705</v>
      </c>
      <c r="AS294" s="6">
        <v>83.2</v>
      </c>
      <c r="AT294" s="6">
        <v>73.400000000000006</v>
      </c>
      <c r="AV294" s="4">
        <v>103</v>
      </c>
      <c r="AW294" s="4">
        <v>107</v>
      </c>
    </row>
    <row r="295" spans="1:49" x14ac:dyDescent="0.2">
      <c r="A295" s="1">
        <v>44432</v>
      </c>
      <c r="B295">
        <f t="shared" si="40"/>
        <v>11.19</v>
      </c>
      <c r="C295" s="1" t="s">
        <v>57</v>
      </c>
      <c r="D295" s="1" t="s">
        <v>63</v>
      </c>
      <c r="E295" s="1" t="s">
        <v>69</v>
      </c>
      <c r="F295" s="1" t="s">
        <v>48</v>
      </c>
      <c r="G295">
        <v>3356</v>
      </c>
      <c r="H295" s="4">
        <v>94.09</v>
      </c>
      <c r="I295" s="4">
        <v>112</v>
      </c>
      <c r="J295" s="4">
        <v>49</v>
      </c>
      <c r="K295" s="4">
        <v>134.57</v>
      </c>
      <c r="L295" s="4">
        <v>141</v>
      </c>
      <c r="M295" s="4">
        <v>76</v>
      </c>
      <c r="N295" s="4">
        <v>94</v>
      </c>
      <c r="O295" s="4">
        <v>55</v>
      </c>
      <c r="P295" s="4">
        <v>45.549181150175102</v>
      </c>
      <c r="Q295" s="4">
        <v>59.457613760726403</v>
      </c>
      <c r="R295" s="4">
        <v>66</v>
      </c>
      <c r="S295" s="7" t="s">
        <v>32</v>
      </c>
      <c r="T295" s="4">
        <v>352152</v>
      </c>
      <c r="U295" s="4">
        <v>751251</v>
      </c>
      <c r="V295" s="4">
        <v>3007</v>
      </c>
      <c r="W295" s="4">
        <v>122400</v>
      </c>
      <c r="X295" s="4">
        <v>202521</v>
      </c>
      <c r="Y295" s="4">
        <v>548730</v>
      </c>
      <c r="Z295" s="4">
        <v>120000</v>
      </c>
      <c r="AA295" s="4">
        <v>2400</v>
      </c>
      <c r="AB295" s="4">
        <v>111655</v>
      </c>
      <c r="AC295" s="4">
        <v>627967</v>
      </c>
      <c r="AD295" s="4">
        <v>947</v>
      </c>
      <c r="AE295" s="4">
        <v>12920</v>
      </c>
      <c r="AF295" s="4">
        <v>753489</v>
      </c>
      <c r="AG295" s="6">
        <v>37671</v>
      </c>
      <c r="AH295" s="6">
        <v>37166</v>
      </c>
      <c r="AI295" s="6">
        <v>505</v>
      </c>
      <c r="AJ295" s="6">
        <v>22848</v>
      </c>
      <c r="AK295" s="6">
        <v>10.4</v>
      </c>
      <c r="AL295" s="4">
        <v>1000</v>
      </c>
      <c r="AM295" s="4">
        <v>6972</v>
      </c>
      <c r="AN295" s="4">
        <v>957</v>
      </c>
      <c r="AO295" s="6">
        <v>186086</v>
      </c>
      <c r="AP295" s="6">
        <v>55410</v>
      </c>
      <c r="AQ295" s="6">
        <v>130676</v>
      </c>
      <c r="AS295" s="6">
        <v>83.1</v>
      </c>
      <c r="AT295" s="6">
        <v>73.2</v>
      </c>
      <c r="AV295" s="4">
        <v>114</v>
      </c>
      <c r="AW295" s="4">
        <v>118</v>
      </c>
    </row>
    <row r="296" spans="1:49" x14ac:dyDescent="0.2">
      <c r="A296" s="1">
        <v>44431</v>
      </c>
      <c r="B296">
        <f t="shared" si="40"/>
        <v>11.19</v>
      </c>
      <c r="C296" s="1" t="s">
        <v>57</v>
      </c>
      <c r="D296" s="1" t="s">
        <v>63</v>
      </c>
      <c r="E296" s="1" t="s">
        <v>69</v>
      </c>
      <c r="F296" s="1" t="s">
        <v>48</v>
      </c>
      <c r="G296">
        <v>3344</v>
      </c>
      <c r="H296" s="4">
        <v>72.91</v>
      </c>
      <c r="I296" s="4">
        <v>112</v>
      </c>
      <c r="J296" s="4">
        <v>49</v>
      </c>
      <c r="K296" s="4">
        <v>126.88</v>
      </c>
      <c r="L296" s="4">
        <v>153</v>
      </c>
      <c r="M296" s="4">
        <v>78</v>
      </c>
      <c r="N296" s="4">
        <v>95</v>
      </c>
      <c r="O296" s="4">
        <v>55</v>
      </c>
      <c r="P296" s="4">
        <v>43.923528025972097</v>
      </c>
      <c r="Q296" s="4">
        <v>58.549585563610897</v>
      </c>
      <c r="R296" s="4">
        <v>65</v>
      </c>
      <c r="S296" s="7" t="s">
        <v>32</v>
      </c>
      <c r="T296" s="4">
        <v>273043</v>
      </c>
      <c r="U296" s="4">
        <v>768851</v>
      </c>
      <c r="V296" s="4">
        <v>686</v>
      </c>
      <c r="W296" s="4">
        <v>122400</v>
      </c>
      <c r="X296" s="4">
        <v>202521</v>
      </c>
      <c r="Y296" s="4">
        <v>566330</v>
      </c>
      <c r="Z296" s="4">
        <v>120000</v>
      </c>
      <c r="AA296" s="4">
        <v>2400</v>
      </c>
      <c r="AB296" s="4">
        <v>94339</v>
      </c>
      <c r="AC296" s="4">
        <v>650769</v>
      </c>
      <c r="AD296" s="4">
        <v>686</v>
      </c>
      <c r="AE296" s="4">
        <v>17610</v>
      </c>
      <c r="AF296" s="4">
        <v>763404</v>
      </c>
      <c r="AG296" s="6">
        <v>39709</v>
      </c>
      <c r="AH296" s="6">
        <v>39218</v>
      </c>
      <c r="AI296" s="6">
        <v>491</v>
      </c>
      <c r="AJ296" s="6">
        <v>29480</v>
      </c>
      <c r="AK296" s="6">
        <v>13.9</v>
      </c>
      <c r="AL296" s="4">
        <v>966</v>
      </c>
      <c r="AM296" s="4">
        <v>7030</v>
      </c>
      <c r="AN296" s="4">
        <v>942</v>
      </c>
      <c r="AO296" s="6">
        <v>177684</v>
      </c>
      <c r="AP296" s="6">
        <v>46401</v>
      </c>
      <c r="AQ296" s="6">
        <v>131283</v>
      </c>
      <c r="AS296" s="6">
        <v>83</v>
      </c>
      <c r="AT296" s="6">
        <v>72.900000000000006</v>
      </c>
      <c r="AV296" s="4">
        <v>117</v>
      </c>
      <c r="AW296" s="4">
        <v>120</v>
      </c>
    </row>
    <row r="297" spans="1:49" x14ac:dyDescent="0.2">
      <c r="A297" s="1">
        <v>44430</v>
      </c>
      <c r="B297">
        <v>10.51</v>
      </c>
      <c r="C297" s="1" t="s">
        <v>57</v>
      </c>
      <c r="D297" s="1" t="s">
        <v>63</v>
      </c>
      <c r="E297" s="1" t="s">
        <v>69</v>
      </c>
      <c r="F297" s="1" t="s">
        <v>48</v>
      </c>
      <c r="G297">
        <v>3320</v>
      </c>
      <c r="H297" s="4">
        <v>96.82</v>
      </c>
      <c r="I297" s="4">
        <v>100</v>
      </c>
      <c r="J297" s="4">
        <v>92</v>
      </c>
      <c r="K297" s="4">
        <v>120.45</v>
      </c>
      <c r="L297" s="4">
        <v>110</v>
      </c>
      <c r="M297" s="4">
        <v>72</v>
      </c>
      <c r="N297" s="4">
        <v>85</v>
      </c>
      <c r="O297" s="4">
        <v>70</v>
      </c>
      <c r="P297" s="4">
        <v>66.631425581252202</v>
      </c>
      <c r="Q297" s="4">
        <v>78.2894747889098</v>
      </c>
      <c r="R297" s="4">
        <v>73</v>
      </c>
      <c r="S297" s="7" t="s">
        <v>32</v>
      </c>
      <c r="T297" s="4">
        <v>288837</v>
      </c>
      <c r="U297" s="4">
        <v>722911</v>
      </c>
      <c r="V297" s="4">
        <v>128</v>
      </c>
      <c r="W297" s="4">
        <v>122400</v>
      </c>
      <c r="X297" s="4">
        <v>202521</v>
      </c>
      <c r="Y297" s="4">
        <v>520390</v>
      </c>
      <c r="Z297" s="4">
        <v>120000</v>
      </c>
      <c r="AA297" s="4">
        <v>2400</v>
      </c>
      <c r="AB297" s="4">
        <v>75156</v>
      </c>
      <c r="AC297" s="4">
        <v>593332</v>
      </c>
      <c r="AD297" s="4">
        <v>128</v>
      </c>
      <c r="AE297" s="4">
        <v>11599</v>
      </c>
      <c r="AF297" s="4">
        <v>680215</v>
      </c>
      <c r="AG297" s="6">
        <v>28729</v>
      </c>
      <c r="AH297" s="6">
        <v>28420</v>
      </c>
      <c r="AI297" s="6">
        <v>309</v>
      </c>
      <c r="AJ297" s="6">
        <v>31404</v>
      </c>
      <c r="AK297" s="6">
        <v>15.0999999999999</v>
      </c>
      <c r="AL297" s="4">
        <v>834</v>
      </c>
      <c r="AM297" s="4">
        <v>6760</v>
      </c>
      <c r="AN297" s="4">
        <v>963</v>
      </c>
      <c r="AO297" s="6">
        <v>156697</v>
      </c>
      <c r="AP297" s="6">
        <v>40345</v>
      </c>
      <c r="AQ297" s="6">
        <v>116352</v>
      </c>
      <c r="AS297" s="6">
        <v>82.9</v>
      </c>
      <c r="AT297" s="6">
        <v>72.7</v>
      </c>
      <c r="AV297" s="4">
        <v>119</v>
      </c>
      <c r="AW297" s="4">
        <v>128</v>
      </c>
    </row>
    <row r="298" spans="1:49" x14ac:dyDescent="0.2">
      <c r="A298" s="1">
        <v>44429</v>
      </c>
      <c r="B298">
        <f>B297</f>
        <v>10.51</v>
      </c>
      <c r="C298" s="1" t="s">
        <v>57</v>
      </c>
      <c r="D298" s="1" t="s">
        <v>63</v>
      </c>
      <c r="E298" s="1" t="s">
        <v>69</v>
      </c>
      <c r="F298" s="1" t="s">
        <v>48</v>
      </c>
      <c r="G298">
        <v>3294</v>
      </c>
      <c r="H298" s="4">
        <v>113.4</v>
      </c>
      <c r="I298" s="4">
        <v>102</v>
      </c>
      <c r="J298" s="4">
        <v>87</v>
      </c>
      <c r="K298" s="4">
        <v>166.97</v>
      </c>
      <c r="L298" s="4">
        <v>89</v>
      </c>
      <c r="M298" s="4">
        <v>66</v>
      </c>
      <c r="N298" s="4">
        <v>87</v>
      </c>
      <c r="O298" s="4">
        <v>68</v>
      </c>
      <c r="P298" s="4">
        <v>55.229178632476099</v>
      </c>
      <c r="Q298" s="4">
        <v>70.257003942031204</v>
      </c>
      <c r="R298" s="4">
        <v>72</v>
      </c>
      <c r="S298" s="7" t="s">
        <v>32</v>
      </c>
      <c r="T298" s="4">
        <v>328489</v>
      </c>
      <c r="U298" s="4">
        <v>722611</v>
      </c>
      <c r="V298" s="4">
        <v>367</v>
      </c>
      <c r="W298" s="4">
        <v>122400</v>
      </c>
      <c r="X298" s="4">
        <v>202521</v>
      </c>
      <c r="Y298" s="4">
        <v>520090</v>
      </c>
      <c r="Z298" s="4">
        <v>120000</v>
      </c>
      <c r="AA298" s="4">
        <v>2400</v>
      </c>
      <c r="AB298" s="4">
        <v>68414</v>
      </c>
      <c r="AC298" s="4">
        <v>566185</v>
      </c>
      <c r="AD298" s="4">
        <v>367</v>
      </c>
      <c r="AE298" s="4">
        <v>4362</v>
      </c>
      <c r="AF298" s="4">
        <v>639328</v>
      </c>
      <c r="AG298" s="6">
        <v>28516</v>
      </c>
      <c r="AH298" s="6">
        <v>28195</v>
      </c>
      <c r="AI298" s="6">
        <v>321</v>
      </c>
      <c r="AJ298" s="6">
        <v>30434</v>
      </c>
      <c r="AK298" s="6">
        <v>14.8</v>
      </c>
      <c r="AL298" s="4">
        <v>877</v>
      </c>
      <c r="AM298" s="4">
        <v>6542</v>
      </c>
      <c r="AN298" s="4">
        <v>955</v>
      </c>
      <c r="AO298" s="6">
        <v>267887</v>
      </c>
      <c r="AP298" s="6">
        <v>73006</v>
      </c>
      <c r="AQ298" s="6">
        <v>194881</v>
      </c>
      <c r="AS298" s="6">
        <v>82.9</v>
      </c>
      <c r="AT298" s="6">
        <v>72.5</v>
      </c>
      <c r="AV298" s="4">
        <v>106</v>
      </c>
      <c r="AW298" s="4">
        <v>116</v>
      </c>
    </row>
    <row r="299" spans="1:49" x14ac:dyDescent="0.2">
      <c r="A299" s="1">
        <v>44428</v>
      </c>
      <c r="B299">
        <f t="shared" ref="B299:B303" si="41">B298</f>
        <v>10.51</v>
      </c>
      <c r="C299" s="1" t="s">
        <v>57</v>
      </c>
      <c r="D299" s="1" t="s">
        <v>63</v>
      </c>
      <c r="E299" s="1" t="s">
        <v>69</v>
      </c>
      <c r="F299" s="1" t="s">
        <v>48</v>
      </c>
      <c r="G299">
        <v>3273</v>
      </c>
      <c r="H299" s="4">
        <v>93.3</v>
      </c>
      <c r="I299" s="4">
        <v>111</v>
      </c>
      <c r="J299" s="4">
        <v>52</v>
      </c>
      <c r="K299" s="4">
        <v>149.97999999999999</v>
      </c>
      <c r="L299" s="4">
        <v>120</v>
      </c>
      <c r="M299" s="4">
        <v>70</v>
      </c>
      <c r="N299" s="4">
        <v>94</v>
      </c>
      <c r="O299" s="4">
        <v>57</v>
      </c>
      <c r="P299" s="4">
        <v>46.241521262135997</v>
      </c>
      <c r="Q299" s="4">
        <v>59.501849498750097</v>
      </c>
      <c r="R299" s="4">
        <v>67</v>
      </c>
      <c r="S299" s="7" t="s">
        <v>32</v>
      </c>
      <c r="T299" s="4">
        <v>360756</v>
      </c>
      <c r="U299" s="4">
        <v>723731</v>
      </c>
      <c r="V299" s="4">
        <v>2771</v>
      </c>
      <c r="W299" s="4">
        <v>122400</v>
      </c>
      <c r="X299" s="4">
        <v>202521</v>
      </c>
      <c r="Y299" s="4">
        <v>521210</v>
      </c>
      <c r="Z299" s="4">
        <v>120000</v>
      </c>
      <c r="AA299" s="4">
        <v>2400</v>
      </c>
      <c r="AB299" s="4">
        <v>85818</v>
      </c>
      <c r="AC299" s="4">
        <v>662511</v>
      </c>
      <c r="AD299" s="4">
        <v>944</v>
      </c>
      <c r="AE299" s="4">
        <v>17576</v>
      </c>
      <c r="AF299" s="4">
        <v>766849</v>
      </c>
      <c r="AG299" s="6">
        <v>32224</v>
      </c>
      <c r="AH299" s="6">
        <v>31814</v>
      </c>
      <c r="AI299" s="6">
        <v>410</v>
      </c>
      <c r="AJ299" s="6">
        <v>29466</v>
      </c>
      <c r="AK299" s="6">
        <v>14.5</v>
      </c>
      <c r="AL299" s="4">
        <v>872</v>
      </c>
      <c r="AM299" s="4">
        <v>6531</v>
      </c>
      <c r="AN299" s="4">
        <v>955</v>
      </c>
      <c r="AO299" s="6">
        <v>228277</v>
      </c>
      <c r="AP299" s="6">
        <v>60885</v>
      </c>
      <c r="AQ299" s="6">
        <v>167392</v>
      </c>
      <c r="AS299" s="6">
        <v>82.7</v>
      </c>
      <c r="AT299" s="6">
        <v>72.2</v>
      </c>
      <c r="AV299" s="4">
        <v>118</v>
      </c>
      <c r="AW299" s="4">
        <v>126</v>
      </c>
    </row>
    <row r="300" spans="1:49" x14ac:dyDescent="0.2">
      <c r="A300" s="1">
        <v>44427</v>
      </c>
      <c r="B300">
        <f t="shared" si="41"/>
        <v>10.51</v>
      </c>
      <c r="C300" s="1" t="s">
        <v>57</v>
      </c>
      <c r="D300" s="1" t="s">
        <v>63</v>
      </c>
      <c r="E300" s="1" t="s">
        <v>69</v>
      </c>
      <c r="F300" s="1" t="s">
        <v>48</v>
      </c>
      <c r="G300">
        <v>3256</v>
      </c>
      <c r="H300" s="4">
        <v>84.08</v>
      </c>
      <c r="I300" s="4">
        <v>112</v>
      </c>
      <c r="J300" s="4">
        <v>50</v>
      </c>
      <c r="K300" s="4">
        <v>136.24</v>
      </c>
      <c r="L300" s="4">
        <v>133</v>
      </c>
      <c r="M300" s="4">
        <v>74</v>
      </c>
      <c r="N300" s="4">
        <v>95</v>
      </c>
      <c r="O300" s="4">
        <v>54</v>
      </c>
      <c r="P300" s="4">
        <v>46.030766727212601</v>
      </c>
      <c r="Q300" s="4">
        <v>58.581781617784003</v>
      </c>
      <c r="R300" s="4">
        <v>66</v>
      </c>
      <c r="S300" s="7" t="s">
        <v>32</v>
      </c>
      <c r="T300" s="4">
        <v>383880</v>
      </c>
      <c r="U300" s="4">
        <v>723098</v>
      </c>
      <c r="V300" s="4">
        <v>2539</v>
      </c>
      <c r="W300" s="4">
        <v>122400</v>
      </c>
      <c r="X300" s="4">
        <v>202508</v>
      </c>
      <c r="Y300" s="4">
        <v>520590</v>
      </c>
      <c r="Z300" s="4">
        <v>120000</v>
      </c>
      <c r="AA300" s="4">
        <v>2400</v>
      </c>
      <c r="AB300" s="4">
        <v>82932</v>
      </c>
      <c r="AC300" s="4">
        <v>733886</v>
      </c>
      <c r="AD300" s="4">
        <v>1179</v>
      </c>
      <c r="AE300" s="4">
        <v>8982</v>
      </c>
      <c r="AF300" s="4">
        <v>826979</v>
      </c>
      <c r="AG300" s="6">
        <v>36485</v>
      </c>
      <c r="AH300" s="6">
        <v>35986</v>
      </c>
      <c r="AI300" s="6">
        <v>499</v>
      </c>
      <c r="AJ300" s="6">
        <v>27124</v>
      </c>
      <c r="AK300" s="6">
        <v>13.4</v>
      </c>
      <c r="AL300" s="4">
        <v>950</v>
      </c>
      <c r="AM300" s="4">
        <v>6519</v>
      </c>
      <c r="AN300" s="4">
        <v>928</v>
      </c>
      <c r="AO300" s="6">
        <v>231038</v>
      </c>
      <c r="AP300" s="6">
        <v>55979</v>
      </c>
      <c r="AQ300" s="6">
        <v>175059</v>
      </c>
      <c r="AS300" s="6">
        <v>82.6</v>
      </c>
      <c r="AT300" s="6">
        <v>71.900000000000006</v>
      </c>
      <c r="AV300" s="4">
        <v>109</v>
      </c>
      <c r="AW300" s="4">
        <v>115</v>
      </c>
    </row>
    <row r="301" spans="1:49" x14ac:dyDescent="0.2">
      <c r="A301" s="1">
        <v>44426</v>
      </c>
      <c r="B301">
        <f t="shared" si="41"/>
        <v>10.51</v>
      </c>
      <c r="C301" s="1" t="s">
        <v>57</v>
      </c>
      <c r="D301" s="1" t="s">
        <v>63</v>
      </c>
      <c r="E301" s="1" t="s">
        <v>69</v>
      </c>
      <c r="F301" s="1" t="s">
        <v>48</v>
      </c>
      <c r="G301">
        <v>3228</v>
      </c>
      <c r="H301" s="4">
        <v>80.400000000000006</v>
      </c>
      <c r="I301" s="4">
        <v>112</v>
      </c>
      <c r="J301" s="4">
        <v>51</v>
      </c>
      <c r="K301" s="4">
        <v>134.54</v>
      </c>
      <c r="L301" s="4">
        <v>131</v>
      </c>
      <c r="M301" s="4">
        <v>73</v>
      </c>
      <c r="N301" s="4">
        <v>94</v>
      </c>
      <c r="O301" s="4">
        <v>54</v>
      </c>
      <c r="P301" s="4">
        <v>45.010688011076702</v>
      </c>
      <c r="Q301" s="4">
        <v>58.951285555627699</v>
      </c>
      <c r="R301" s="4">
        <v>67</v>
      </c>
      <c r="S301" s="7" t="s">
        <v>32</v>
      </c>
      <c r="T301" s="4">
        <v>380666</v>
      </c>
      <c r="U301" s="4">
        <v>723868</v>
      </c>
      <c r="V301" s="4">
        <v>2685</v>
      </c>
      <c r="W301" s="4">
        <v>122400</v>
      </c>
      <c r="X301" s="4">
        <v>202508</v>
      </c>
      <c r="Y301" s="4">
        <v>521360</v>
      </c>
      <c r="Z301" s="4">
        <v>120000</v>
      </c>
      <c r="AA301" s="4">
        <v>2400</v>
      </c>
      <c r="AB301" s="4">
        <v>100097</v>
      </c>
      <c r="AC301" s="4">
        <v>689558</v>
      </c>
      <c r="AD301" s="4">
        <v>1113</v>
      </c>
      <c r="AE301" s="4">
        <v>16199</v>
      </c>
      <c r="AF301" s="4">
        <v>806967</v>
      </c>
      <c r="AG301" s="6">
        <v>38735</v>
      </c>
      <c r="AH301" s="6">
        <v>38202</v>
      </c>
      <c r="AI301" s="6">
        <v>533</v>
      </c>
      <c r="AJ301" s="6">
        <v>22421</v>
      </c>
      <c r="AK301" s="6">
        <v>11.0999999999999</v>
      </c>
      <c r="AL301" s="4">
        <v>913</v>
      </c>
      <c r="AM301" s="4">
        <v>6475</v>
      </c>
      <c r="AN301" s="4">
        <v>909</v>
      </c>
      <c r="AO301" s="6">
        <v>216507</v>
      </c>
      <c r="AP301" s="6">
        <v>47284</v>
      </c>
      <c r="AQ301" s="6">
        <v>169223</v>
      </c>
      <c r="AS301" s="6">
        <v>82.5</v>
      </c>
      <c r="AT301" s="6">
        <v>71.599999999999994</v>
      </c>
      <c r="AV301" s="4">
        <v>101</v>
      </c>
      <c r="AW301" s="4">
        <v>111</v>
      </c>
    </row>
    <row r="302" spans="1:49" x14ac:dyDescent="0.2">
      <c r="A302" s="1">
        <v>44425</v>
      </c>
      <c r="B302">
        <f t="shared" si="41"/>
        <v>10.51</v>
      </c>
      <c r="C302" s="1" t="s">
        <v>57</v>
      </c>
      <c r="D302" s="1" t="s">
        <v>63</v>
      </c>
      <c r="E302" s="1" t="s">
        <v>69</v>
      </c>
      <c r="F302" s="1" t="s">
        <v>48</v>
      </c>
      <c r="G302">
        <v>3227</v>
      </c>
      <c r="H302" s="4">
        <v>71.88</v>
      </c>
      <c r="I302" s="4">
        <v>113</v>
      </c>
      <c r="J302" s="4">
        <v>47</v>
      </c>
      <c r="K302" s="4">
        <v>126.54</v>
      </c>
      <c r="L302" s="4">
        <v>112</v>
      </c>
      <c r="M302" s="4">
        <v>72</v>
      </c>
      <c r="N302" s="4">
        <v>92</v>
      </c>
      <c r="O302" s="4">
        <v>53</v>
      </c>
      <c r="P302" s="4">
        <v>43.905129057156898</v>
      </c>
      <c r="Q302" s="4">
        <v>57.120235937523901</v>
      </c>
      <c r="R302" s="4">
        <v>64</v>
      </c>
      <c r="S302" s="7" t="s">
        <v>32</v>
      </c>
      <c r="T302" s="4">
        <v>361445</v>
      </c>
      <c r="U302" s="4">
        <v>722768</v>
      </c>
      <c r="V302" s="4">
        <v>2061</v>
      </c>
      <c r="W302" s="4">
        <v>122400</v>
      </c>
      <c r="X302" s="4">
        <v>202508</v>
      </c>
      <c r="Y302" s="4">
        <v>520260</v>
      </c>
      <c r="Z302" s="4">
        <v>120000</v>
      </c>
      <c r="AA302" s="4">
        <v>2400</v>
      </c>
      <c r="AB302" s="4">
        <v>108560</v>
      </c>
      <c r="AC302" s="4">
        <v>612164</v>
      </c>
      <c r="AD302" s="4">
        <v>1300</v>
      </c>
      <c r="AE302" s="4">
        <v>11210</v>
      </c>
      <c r="AF302" s="4">
        <v>733234</v>
      </c>
      <c r="AG302" s="6">
        <v>37909</v>
      </c>
      <c r="AH302" s="6">
        <v>37342</v>
      </c>
      <c r="AI302" s="6">
        <v>567</v>
      </c>
      <c r="AJ302" s="6">
        <v>18043</v>
      </c>
      <c r="AK302" s="6">
        <v>9</v>
      </c>
      <c r="AL302" s="4">
        <v>967</v>
      </c>
      <c r="AM302" s="4">
        <v>6415</v>
      </c>
      <c r="AN302" s="4">
        <v>925</v>
      </c>
      <c r="AO302" s="6">
        <v>189699</v>
      </c>
      <c r="AP302" s="6">
        <v>43824</v>
      </c>
      <c r="AQ302" s="6">
        <v>145875</v>
      </c>
      <c r="AS302" s="6">
        <v>82.4</v>
      </c>
      <c r="AT302" s="6">
        <v>71.3</v>
      </c>
      <c r="AV302" s="4">
        <v>109</v>
      </c>
      <c r="AW302" s="4">
        <v>100</v>
      </c>
    </row>
    <row r="303" spans="1:49" x14ac:dyDescent="0.2">
      <c r="A303" s="1">
        <v>44424</v>
      </c>
      <c r="B303">
        <f t="shared" si="41"/>
        <v>10.51</v>
      </c>
      <c r="C303" s="1" t="s">
        <v>57</v>
      </c>
      <c r="D303" s="1" t="s">
        <v>63</v>
      </c>
      <c r="E303" s="1" t="s">
        <v>69</v>
      </c>
      <c r="F303" s="1" t="s">
        <v>48</v>
      </c>
      <c r="G303">
        <v>3202</v>
      </c>
      <c r="H303" s="4">
        <v>68.38</v>
      </c>
      <c r="I303" s="4">
        <v>112</v>
      </c>
      <c r="J303" s="4">
        <v>47</v>
      </c>
      <c r="K303" s="4">
        <v>119.13</v>
      </c>
      <c r="L303" s="4">
        <v>131</v>
      </c>
      <c r="M303" s="4">
        <v>75</v>
      </c>
      <c r="N303" s="4">
        <v>95</v>
      </c>
      <c r="O303" s="4">
        <v>54</v>
      </c>
      <c r="P303" s="4">
        <v>42.527860335774697</v>
      </c>
      <c r="Q303" s="4">
        <v>57.7436890131616</v>
      </c>
      <c r="R303" s="4">
        <v>63</v>
      </c>
      <c r="S303" s="7" t="s">
        <v>32</v>
      </c>
      <c r="T303" s="4">
        <v>230039</v>
      </c>
      <c r="U303" s="4">
        <v>722928</v>
      </c>
      <c r="V303" s="4">
        <v>1483</v>
      </c>
      <c r="W303" s="4">
        <v>122400</v>
      </c>
      <c r="X303" s="4">
        <v>202508</v>
      </c>
      <c r="Y303" s="4">
        <v>520420</v>
      </c>
      <c r="Z303" s="4">
        <v>120000</v>
      </c>
      <c r="AA303" s="4">
        <v>2400</v>
      </c>
      <c r="AB303" s="4">
        <v>95435</v>
      </c>
      <c r="AC303" s="4">
        <v>614052</v>
      </c>
      <c r="AD303" s="4">
        <v>905</v>
      </c>
      <c r="AE303" s="4">
        <v>9707</v>
      </c>
      <c r="AF303" s="4">
        <v>720099</v>
      </c>
      <c r="AG303" s="6">
        <v>36895</v>
      </c>
      <c r="AH303" s="6">
        <v>36395</v>
      </c>
      <c r="AI303" s="6">
        <v>500</v>
      </c>
      <c r="AJ303" s="6">
        <v>12719</v>
      </c>
      <c r="AK303" s="6">
        <v>6.4</v>
      </c>
      <c r="AL303" s="4">
        <v>870</v>
      </c>
      <c r="AM303" s="4">
        <v>6391</v>
      </c>
      <c r="AN303" s="4">
        <v>918</v>
      </c>
      <c r="AO303" s="6">
        <v>174106</v>
      </c>
      <c r="AP303" s="6">
        <v>35716</v>
      </c>
      <c r="AQ303" s="6">
        <v>138390</v>
      </c>
      <c r="AS303" s="6">
        <v>82.4</v>
      </c>
      <c r="AT303" s="6">
        <v>71</v>
      </c>
      <c r="AV303" s="4">
        <v>83</v>
      </c>
      <c r="AW303" s="4">
        <v>89</v>
      </c>
    </row>
    <row r="304" spans="1:49" x14ac:dyDescent="0.2">
      <c r="A304" s="1">
        <v>44423</v>
      </c>
      <c r="B304">
        <v>12.96</v>
      </c>
      <c r="C304" s="1" t="s">
        <v>57</v>
      </c>
      <c r="D304" s="1" t="s">
        <v>63</v>
      </c>
      <c r="E304" s="1" t="s">
        <v>69</v>
      </c>
      <c r="F304" s="1" t="s">
        <v>48</v>
      </c>
      <c r="G304">
        <v>3189</v>
      </c>
      <c r="H304" s="4">
        <v>91.98</v>
      </c>
      <c r="I304" s="4">
        <v>99</v>
      </c>
      <c r="J304" s="4">
        <v>91</v>
      </c>
      <c r="K304" s="4">
        <v>118.97</v>
      </c>
      <c r="L304" s="4">
        <v>129</v>
      </c>
      <c r="M304" s="4">
        <v>73</v>
      </c>
      <c r="N304" s="4">
        <v>87</v>
      </c>
      <c r="O304" s="4">
        <v>71</v>
      </c>
      <c r="P304" s="4">
        <v>69.156252351343795</v>
      </c>
      <c r="Q304" s="4">
        <v>79.636243290525101</v>
      </c>
      <c r="R304" s="4">
        <v>72</v>
      </c>
      <c r="S304" s="7" t="s">
        <v>32</v>
      </c>
      <c r="T304" s="4">
        <v>276280</v>
      </c>
      <c r="U304" s="4">
        <v>720028</v>
      </c>
      <c r="V304" s="4">
        <v>30</v>
      </c>
      <c r="W304" s="4">
        <v>122400</v>
      </c>
      <c r="X304" s="4">
        <v>202508</v>
      </c>
      <c r="Y304" s="4">
        <v>517520</v>
      </c>
      <c r="Z304" s="4">
        <v>120000</v>
      </c>
      <c r="AA304" s="4">
        <v>2400</v>
      </c>
      <c r="AB304" s="4">
        <v>70617</v>
      </c>
      <c r="AC304" s="4">
        <v>591502</v>
      </c>
      <c r="AD304" s="4">
        <v>30</v>
      </c>
      <c r="AE304" s="4">
        <v>13374</v>
      </c>
      <c r="AF304" s="4">
        <v>675523</v>
      </c>
      <c r="AG304" s="6">
        <v>25322</v>
      </c>
      <c r="AH304" s="6">
        <v>25029</v>
      </c>
      <c r="AI304" s="6">
        <v>293</v>
      </c>
      <c r="AJ304" s="6">
        <v>10304</v>
      </c>
      <c r="AK304" s="6">
        <v>5.2</v>
      </c>
      <c r="AL304" s="4">
        <v>807</v>
      </c>
      <c r="AM304" s="4">
        <v>6054</v>
      </c>
      <c r="AN304" s="4">
        <v>898</v>
      </c>
      <c r="AO304" s="6">
        <v>157640</v>
      </c>
      <c r="AP304" s="6">
        <v>31257</v>
      </c>
      <c r="AQ304" s="6">
        <v>126383</v>
      </c>
      <c r="AS304" s="6">
        <v>82.3</v>
      </c>
      <c r="AT304" s="6">
        <v>70.8</v>
      </c>
      <c r="AV304" s="4">
        <v>87</v>
      </c>
      <c r="AW304" s="4">
        <v>91</v>
      </c>
    </row>
    <row r="305" spans="1:49" x14ac:dyDescent="0.2">
      <c r="A305" s="1">
        <v>44422</v>
      </c>
      <c r="B305">
        <f>B304</f>
        <v>12.96</v>
      </c>
      <c r="C305" s="1" t="s">
        <v>57</v>
      </c>
      <c r="D305" s="1" t="s">
        <v>63</v>
      </c>
      <c r="E305" s="1" t="s">
        <v>69</v>
      </c>
      <c r="F305" s="1" t="s">
        <v>48</v>
      </c>
      <c r="G305">
        <v>3175</v>
      </c>
      <c r="H305" s="4">
        <v>97.02</v>
      </c>
      <c r="I305" s="4">
        <v>100</v>
      </c>
      <c r="J305" s="4">
        <v>88</v>
      </c>
      <c r="K305" s="4">
        <v>169.12</v>
      </c>
      <c r="L305" s="4">
        <v>116</v>
      </c>
      <c r="M305" s="4">
        <v>68</v>
      </c>
      <c r="N305" s="4">
        <v>89</v>
      </c>
      <c r="O305" s="4">
        <v>71</v>
      </c>
      <c r="P305" s="4">
        <v>60.660783318935003</v>
      </c>
      <c r="Q305" s="4">
        <v>70.402768152933703</v>
      </c>
      <c r="R305" s="4">
        <v>73</v>
      </c>
      <c r="S305" s="7" t="s">
        <v>32</v>
      </c>
      <c r="T305" s="4">
        <v>298736</v>
      </c>
      <c r="U305" s="4">
        <v>719968</v>
      </c>
      <c r="V305" s="4">
        <v>381</v>
      </c>
      <c r="W305" s="4">
        <v>122400</v>
      </c>
      <c r="X305" s="4">
        <v>202508</v>
      </c>
      <c r="Y305" s="4">
        <v>517460</v>
      </c>
      <c r="Z305" s="4">
        <v>120000</v>
      </c>
      <c r="AA305" s="4">
        <v>2400</v>
      </c>
      <c r="AB305" s="4">
        <v>67813</v>
      </c>
      <c r="AC305" s="4">
        <v>568907</v>
      </c>
      <c r="AD305" s="4">
        <v>381</v>
      </c>
      <c r="AE305" s="4">
        <v>12528</v>
      </c>
      <c r="AF305" s="4">
        <v>649629</v>
      </c>
      <c r="AG305" s="6">
        <v>25057</v>
      </c>
      <c r="AH305" s="6">
        <v>24784</v>
      </c>
      <c r="AI305" s="6">
        <v>273</v>
      </c>
      <c r="AJ305" s="6">
        <v>9853</v>
      </c>
      <c r="AK305" s="6">
        <v>5</v>
      </c>
      <c r="AL305" s="4">
        <v>788</v>
      </c>
      <c r="AM305" s="4">
        <v>5893</v>
      </c>
      <c r="AN305" s="4">
        <v>892</v>
      </c>
      <c r="AO305" s="6">
        <v>246187</v>
      </c>
      <c r="AP305" s="6">
        <v>46603</v>
      </c>
      <c r="AQ305" s="6">
        <v>199584</v>
      </c>
      <c r="AS305" s="6">
        <v>82.3</v>
      </c>
      <c r="AT305" s="6">
        <v>70.599999999999994</v>
      </c>
      <c r="AV305" s="4">
        <v>96</v>
      </c>
      <c r="AW305" s="4">
        <v>103</v>
      </c>
    </row>
    <row r="306" spans="1:49" x14ac:dyDescent="0.2">
      <c r="A306" s="1">
        <v>44421</v>
      </c>
      <c r="B306">
        <f t="shared" ref="B306:B310" si="42">B305</f>
        <v>12.96</v>
      </c>
      <c r="C306" s="1" t="s">
        <v>57</v>
      </c>
      <c r="D306" s="1" t="s">
        <v>63</v>
      </c>
      <c r="E306" s="1" t="s">
        <v>69</v>
      </c>
      <c r="F306" s="1" t="s">
        <v>48</v>
      </c>
      <c r="G306">
        <v>3165</v>
      </c>
      <c r="H306" s="4">
        <v>82.91</v>
      </c>
      <c r="I306" s="4">
        <v>111</v>
      </c>
      <c r="J306" s="4">
        <v>51</v>
      </c>
      <c r="K306" s="4">
        <v>144.16</v>
      </c>
      <c r="L306" s="4">
        <v>117</v>
      </c>
      <c r="M306" s="4">
        <v>69</v>
      </c>
      <c r="N306" s="4">
        <v>95</v>
      </c>
      <c r="O306" s="4">
        <v>57</v>
      </c>
      <c r="P306" s="4">
        <v>45.053294495512901</v>
      </c>
      <c r="Q306" s="4">
        <v>59.118311004940999</v>
      </c>
      <c r="R306" s="4">
        <v>67</v>
      </c>
      <c r="S306" s="7" t="s">
        <v>32</v>
      </c>
      <c r="T306" s="4">
        <v>357735</v>
      </c>
      <c r="U306" s="4">
        <v>709848</v>
      </c>
      <c r="V306" s="4">
        <v>1948</v>
      </c>
      <c r="W306" s="4">
        <v>122400</v>
      </c>
      <c r="X306" s="4">
        <v>202508</v>
      </c>
      <c r="Y306" s="4">
        <v>507340</v>
      </c>
      <c r="Z306" s="4">
        <v>120000</v>
      </c>
      <c r="AA306" s="4">
        <v>2400</v>
      </c>
      <c r="AB306" s="4">
        <v>84775</v>
      </c>
      <c r="AC306" s="4">
        <v>723670</v>
      </c>
      <c r="AD306" s="4">
        <v>1051</v>
      </c>
      <c r="AE306" s="4">
        <v>13761</v>
      </c>
      <c r="AF306" s="4">
        <v>823257</v>
      </c>
      <c r="AG306" s="6">
        <v>28970</v>
      </c>
      <c r="AH306" s="6">
        <v>28612</v>
      </c>
      <c r="AI306" s="6">
        <v>358</v>
      </c>
      <c r="AJ306" s="6">
        <v>9360</v>
      </c>
      <c r="AK306" s="6">
        <v>4.7999999999999901</v>
      </c>
      <c r="AL306" s="4">
        <v>790</v>
      </c>
      <c r="AM306" s="4">
        <v>5996</v>
      </c>
      <c r="AN306" s="4">
        <v>892</v>
      </c>
      <c r="AO306" s="6">
        <v>212075</v>
      </c>
      <c r="AP306" s="6">
        <v>40490</v>
      </c>
      <c r="AQ306" s="6">
        <v>171585</v>
      </c>
      <c r="AS306" s="6">
        <v>82.2</v>
      </c>
      <c r="AT306" s="6">
        <v>70.2</v>
      </c>
      <c r="AV306" s="4">
        <v>107</v>
      </c>
      <c r="AW306" s="4">
        <v>98</v>
      </c>
    </row>
    <row r="307" spans="1:49" x14ac:dyDescent="0.2">
      <c r="A307" s="1">
        <v>44420</v>
      </c>
      <c r="B307">
        <f t="shared" si="42"/>
        <v>12.96</v>
      </c>
      <c r="C307" s="1" t="s">
        <v>57</v>
      </c>
      <c r="D307" s="1" t="s">
        <v>63</v>
      </c>
      <c r="E307" s="1" t="s">
        <v>69</v>
      </c>
      <c r="F307" s="1" t="s">
        <v>48</v>
      </c>
      <c r="G307">
        <v>3142</v>
      </c>
      <c r="H307" s="4">
        <v>77.55</v>
      </c>
      <c r="I307" s="4">
        <v>112</v>
      </c>
      <c r="J307" s="4">
        <v>49</v>
      </c>
      <c r="K307" s="4">
        <v>134.83000000000001</v>
      </c>
      <c r="L307" s="4">
        <v>129</v>
      </c>
      <c r="M307" s="4">
        <v>73</v>
      </c>
      <c r="N307" s="4">
        <v>95</v>
      </c>
      <c r="O307" s="4">
        <v>54</v>
      </c>
      <c r="P307" s="4">
        <v>44.532961812234497</v>
      </c>
      <c r="Q307" s="4">
        <v>60.0549600767689</v>
      </c>
      <c r="R307" s="4">
        <v>67</v>
      </c>
      <c r="S307" s="7" t="s">
        <v>32</v>
      </c>
      <c r="T307" s="4">
        <v>358526</v>
      </c>
      <c r="U307" s="4">
        <v>710619</v>
      </c>
      <c r="V307" s="4">
        <v>1908</v>
      </c>
      <c r="W307" s="4">
        <v>122400</v>
      </c>
      <c r="X307" s="4">
        <v>202529</v>
      </c>
      <c r="Y307" s="4">
        <v>508090</v>
      </c>
      <c r="Z307" s="4">
        <v>120000</v>
      </c>
      <c r="AA307" s="4">
        <v>2400</v>
      </c>
      <c r="AB307" s="4">
        <v>85479</v>
      </c>
      <c r="AC307" s="4">
        <v>715870</v>
      </c>
      <c r="AD307" s="4">
        <v>1312</v>
      </c>
      <c r="AE307" s="4">
        <v>13359</v>
      </c>
      <c r="AF307" s="4">
        <v>816020</v>
      </c>
      <c r="AG307" s="6">
        <v>31721</v>
      </c>
      <c r="AH307" s="6">
        <v>31280</v>
      </c>
      <c r="AI307" s="6">
        <v>441</v>
      </c>
      <c r="AJ307" s="6">
        <v>11762</v>
      </c>
      <c r="AK307" s="6">
        <v>6.2</v>
      </c>
      <c r="AL307" s="4">
        <v>861</v>
      </c>
      <c r="AM307" s="4">
        <v>5968</v>
      </c>
      <c r="AN307" s="4">
        <v>882</v>
      </c>
      <c r="AO307" s="6">
        <v>236943</v>
      </c>
      <c r="AP307" s="6">
        <v>44384</v>
      </c>
      <c r="AQ307" s="6">
        <v>192559</v>
      </c>
      <c r="AS307" s="6">
        <v>82.1</v>
      </c>
      <c r="AT307" s="6">
        <v>69.900000000000006</v>
      </c>
      <c r="AV307" s="4">
        <v>108</v>
      </c>
      <c r="AW307" s="4">
        <v>106</v>
      </c>
    </row>
    <row r="308" spans="1:49" x14ac:dyDescent="0.2">
      <c r="A308" s="1">
        <v>44419</v>
      </c>
      <c r="B308">
        <f t="shared" si="42"/>
        <v>12.96</v>
      </c>
      <c r="C308" s="1" t="s">
        <v>57</v>
      </c>
      <c r="D308" s="1" t="s">
        <v>63</v>
      </c>
      <c r="E308" s="1" t="s">
        <v>69</v>
      </c>
      <c r="F308" s="1" t="s">
        <v>48</v>
      </c>
      <c r="G308">
        <v>3141</v>
      </c>
      <c r="H308" s="4">
        <v>77.760000000000005</v>
      </c>
      <c r="I308" s="4">
        <v>112</v>
      </c>
      <c r="J308" s="4">
        <v>49</v>
      </c>
      <c r="K308" s="4">
        <v>136.08000000000001</v>
      </c>
      <c r="L308" s="4">
        <v>151</v>
      </c>
      <c r="M308" s="4">
        <v>75</v>
      </c>
      <c r="N308" s="4">
        <v>95</v>
      </c>
      <c r="O308" s="4">
        <v>55</v>
      </c>
      <c r="P308" s="4">
        <v>44.253363990993101</v>
      </c>
      <c r="Q308" s="4">
        <v>59.261722568124199</v>
      </c>
      <c r="R308" s="4">
        <v>67</v>
      </c>
      <c r="S308" s="7" t="s">
        <v>32</v>
      </c>
      <c r="T308" s="4">
        <v>373335</v>
      </c>
      <c r="U308" s="4">
        <v>710603</v>
      </c>
      <c r="V308" s="4">
        <v>3204</v>
      </c>
      <c r="W308" s="4">
        <v>122400</v>
      </c>
      <c r="X308" s="4">
        <v>202513</v>
      </c>
      <c r="Y308" s="4">
        <v>508090</v>
      </c>
      <c r="Z308" s="4">
        <v>120000</v>
      </c>
      <c r="AA308" s="4">
        <v>2400</v>
      </c>
      <c r="AB308" s="4">
        <v>98062</v>
      </c>
      <c r="AC308" s="4">
        <v>723848</v>
      </c>
      <c r="AD308" s="4">
        <v>1338</v>
      </c>
      <c r="AE308" s="4">
        <v>16407</v>
      </c>
      <c r="AF308" s="4">
        <v>839655</v>
      </c>
      <c r="AG308" s="6">
        <v>33347</v>
      </c>
      <c r="AH308" s="6">
        <v>32932</v>
      </c>
      <c r="AI308" s="6">
        <v>415</v>
      </c>
      <c r="AJ308" s="6">
        <v>14931</v>
      </c>
      <c r="AK308" s="6">
        <v>8</v>
      </c>
      <c r="AL308" s="4">
        <v>850</v>
      </c>
      <c r="AM308" s="4">
        <v>6013</v>
      </c>
      <c r="AN308" s="4">
        <v>871</v>
      </c>
      <c r="AO308" s="6">
        <v>215329</v>
      </c>
      <c r="AP308" s="6">
        <v>41568</v>
      </c>
      <c r="AQ308" s="6">
        <v>173761</v>
      </c>
      <c r="AS308" s="6">
        <v>82</v>
      </c>
      <c r="AT308" s="6">
        <v>69.599999999999994</v>
      </c>
      <c r="AV308" s="4">
        <v>89</v>
      </c>
      <c r="AW308" s="4">
        <v>88</v>
      </c>
    </row>
    <row r="309" spans="1:49" x14ac:dyDescent="0.2">
      <c r="A309" s="1">
        <v>44418</v>
      </c>
      <c r="B309">
        <f t="shared" si="42"/>
        <v>12.96</v>
      </c>
      <c r="C309" s="1" t="s">
        <v>57</v>
      </c>
      <c r="D309" s="1" t="s">
        <v>63</v>
      </c>
      <c r="E309" s="1" t="s">
        <v>69</v>
      </c>
      <c r="F309" s="1" t="s">
        <v>48</v>
      </c>
      <c r="G309">
        <v>3128</v>
      </c>
      <c r="H309" s="4">
        <v>71.34</v>
      </c>
      <c r="I309" s="4">
        <v>112</v>
      </c>
      <c r="J309" s="4">
        <v>48</v>
      </c>
      <c r="K309" s="4">
        <v>132.93</v>
      </c>
      <c r="L309" s="4">
        <v>147</v>
      </c>
      <c r="M309" s="4">
        <v>76</v>
      </c>
      <c r="N309" s="4">
        <v>96</v>
      </c>
      <c r="O309" s="4">
        <v>55</v>
      </c>
      <c r="P309" s="4">
        <v>43.641807231566702</v>
      </c>
      <c r="Q309" s="4">
        <v>60.437495641195603</v>
      </c>
      <c r="R309" s="4">
        <v>67</v>
      </c>
      <c r="S309" s="7" t="s">
        <v>32</v>
      </c>
      <c r="T309" s="4">
        <v>343945</v>
      </c>
      <c r="U309" s="4">
        <v>710103</v>
      </c>
      <c r="V309" s="4">
        <v>2550</v>
      </c>
      <c r="W309" s="4">
        <v>122400</v>
      </c>
      <c r="X309" s="4">
        <v>202513</v>
      </c>
      <c r="Y309" s="4">
        <v>507590</v>
      </c>
      <c r="Z309" s="4">
        <v>120000</v>
      </c>
      <c r="AA309" s="4">
        <v>2400</v>
      </c>
      <c r="AB309" s="4">
        <v>105857</v>
      </c>
      <c r="AC309" s="4">
        <v>630698</v>
      </c>
      <c r="AD309" s="4">
        <v>1336</v>
      </c>
      <c r="AE309" s="4">
        <v>11336</v>
      </c>
      <c r="AF309" s="4">
        <v>749227</v>
      </c>
      <c r="AG309" s="6">
        <v>31515</v>
      </c>
      <c r="AH309" s="6">
        <v>31064</v>
      </c>
      <c r="AI309" s="6">
        <v>451</v>
      </c>
      <c r="AJ309" s="6">
        <v>16021</v>
      </c>
      <c r="AK309" s="6">
        <v>8.6999999999999904</v>
      </c>
      <c r="AL309" s="4">
        <v>894</v>
      </c>
      <c r="AM309" s="4">
        <v>6028</v>
      </c>
      <c r="AN309" s="4">
        <v>874</v>
      </c>
      <c r="AO309" s="6">
        <v>188654</v>
      </c>
      <c r="AP309" s="6">
        <v>37511</v>
      </c>
      <c r="AQ309" s="6">
        <v>151143</v>
      </c>
      <c r="AS309" s="6">
        <v>82</v>
      </c>
      <c r="AT309" s="6">
        <v>69.3</v>
      </c>
      <c r="AV309" s="4">
        <v>81</v>
      </c>
      <c r="AW309" s="4">
        <v>85</v>
      </c>
    </row>
    <row r="310" spans="1:49" x14ac:dyDescent="0.2">
      <c r="A310" s="1">
        <v>44417</v>
      </c>
      <c r="B310">
        <f t="shared" si="42"/>
        <v>12.96</v>
      </c>
      <c r="C310" s="1" t="s">
        <v>57</v>
      </c>
      <c r="D310" s="1" t="s">
        <v>63</v>
      </c>
      <c r="E310" s="1" t="s">
        <v>69</v>
      </c>
      <c r="F310" s="1" t="s">
        <v>48</v>
      </c>
      <c r="G310">
        <v>3115</v>
      </c>
      <c r="H310" s="4">
        <v>60.89</v>
      </c>
      <c r="I310" s="4">
        <v>114</v>
      </c>
      <c r="J310" s="4">
        <v>47</v>
      </c>
      <c r="K310" s="4">
        <v>112.02</v>
      </c>
      <c r="L310" s="4">
        <v>109</v>
      </c>
      <c r="M310" s="4">
        <v>72</v>
      </c>
      <c r="N310" s="4">
        <v>91</v>
      </c>
      <c r="O310" s="4">
        <v>52</v>
      </c>
      <c r="P310" s="4">
        <v>40.002826754960601</v>
      </c>
      <c r="Q310" s="4">
        <v>56.367722938068603</v>
      </c>
      <c r="R310" s="4">
        <v>63</v>
      </c>
      <c r="S310" s="7" t="s">
        <v>32</v>
      </c>
      <c r="T310" s="4">
        <v>232181</v>
      </c>
      <c r="U310" s="4">
        <v>710193</v>
      </c>
      <c r="V310" s="4">
        <v>2247</v>
      </c>
      <c r="W310" s="4">
        <v>122400</v>
      </c>
      <c r="X310" s="4">
        <v>202513</v>
      </c>
      <c r="Y310" s="4">
        <v>507680</v>
      </c>
      <c r="Z310" s="4">
        <v>120000</v>
      </c>
      <c r="AA310" s="4">
        <v>2400</v>
      </c>
      <c r="AB310" s="4">
        <v>93404</v>
      </c>
      <c r="AC310" s="4">
        <v>641439</v>
      </c>
      <c r="AD310" s="4">
        <v>981</v>
      </c>
      <c r="AE310" s="4">
        <v>11029</v>
      </c>
      <c r="AF310" s="4">
        <v>746853</v>
      </c>
      <c r="AG310" s="6">
        <v>32157</v>
      </c>
      <c r="AH310" s="6">
        <v>31688</v>
      </c>
      <c r="AI310" s="6">
        <v>469</v>
      </c>
      <c r="AJ310" s="6">
        <v>15822</v>
      </c>
      <c r="AK310" s="6">
        <v>8.5999999999999908</v>
      </c>
      <c r="AL310" s="4">
        <v>760</v>
      </c>
      <c r="AM310" s="4">
        <v>6026</v>
      </c>
      <c r="AN310" s="4">
        <v>859</v>
      </c>
      <c r="AO310" s="6">
        <v>169278</v>
      </c>
      <c r="AP310" s="6">
        <v>32250</v>
      </c>
      <c r="AQ310" s="6">
        <v>137028</v>
      </c>
      <c r="AS310" s="6">
        <v>81.900000000000006</v>
      </c>
      <c r="AT310" s="6">
        <v>69</v>
      </c>
      <c r="AV310" s="4">
        <v>82</v>
      </c>
      <c r="AW310" s="4">
        <v>84</v>
      </c>
    </row>
    <row r="311" spans="1:49" x14ac:dyDescent="0.2">
      <c r="A311" s="1">
        <v>44416</v>
      </c>
      <c r="B311">
        <v>11.64</v>
      </c>
      <c r="C311" s="1" t="s">
        <v>57</v>
      </c>
      <c r="D311" s="1" t="s">
        <v>63</v>
      </c>
      <c r="E311" s="1" t="s">
        <v>69</v>
      </c>
      <c r="F311" s="1" t="s">
        <v>48</v>
      </c>
      <c r="G311">
        <v>3106</v>
      </c>
      <c r="H311" s="4">
        <v>84.36</v>
      </c>
      <c r="I311" s="4">
        <v>101</v>
      </c>
      <c r="J311" s="4">
        <v>90</v>
      </c>
      <c r="K311" s="4">
        <v>107.85</v>
      </c>
      <c r="L311" s="4">
        <v>94</v>
      </c>
      <c r="M311" s="4">
        <v>69</v>
      </c>
      <c r="N311" s="4">
        <v>84</v>
      </c>
      <c r="O311" s="4">
        <v>66</v>
      </c>
      <c r="P311" s="4">
        <v>60.923901965210398</v>
      </c>
      <c r="Q311" s="4">
        <v>73.085507310228294</v>
      </c>
      <c r="R311" s="4">
        <v>67</v>
      </c>
      <c r="S311" s="7" t="s">
        <v>32</v>
      </c>
      <c r="T311" s="4">
        <v>271524</v>
      </c>
      <c r="U311" s="4">
        <v>708743</v>
      </c>
      <c r="V311" s="4">
        <v>63</v>
      </c>
      <c r="W311" s="4">
        <v>122400</v>
      </c>
      <c r="X311" s="4">
        <v>202513</v>
      </c>
      <c r="Y311" s="4">
        <v>506230</v>
      </c>
      <c r="Z311" s="4">
        <v>120000</v>
      </c>
      <c r="AA311" s="4">
        <v>2400</v>
      </c>
      <c r="AB311" s="4">
        <v>71646</v>
      </c>
      <c r="AC311" s="4">
        <v>606469</v>
      </c>
      <c r="AD311" s="4">
        <v>63</v>
      </c>
      <c r="AE311" s="4">
        <v>12763</v>
      </c>
      <c r="AF311" s="4">
        <v>690941</v>
      </c>
      <c r="AG311" s="6">
        <v>22885</v>
      </c>
      <c r="AH311" s="6">
        <v>22607</v>
      </c>
      <c r="AI311" s="6">
        <v>278</v>
      </c>
      <c r="AJ311" s="6">
        <v>13356</v>
      </c>
      <c r="AK311" s="6">
        <v>7.2</v>
      </c>
      <c r="AL311" s="4">
        <v>742</v>
      </c>
      <c r="AM311" s="4">
        <v>5865</v>
      </c>
      <c r="AN311" s="4">
        <v>856</v>
      </c>
      <c r="AO311" s="6">
        <v>144913</v>
      </c>
      <c r="AP311" s="6">
        <v>22843</v>
      </c>
      <c r="AQ311" s="6">
        <v>122070</v>
      </c>
      <c r="AS311" s="6">
        <v>81.8</v>
      </c>
      <c r="AT311" s="6">
        <v>68.8</v>
      </c>
      <c r="AV311" s="4">
        <v>81</v>
      </c>
      <c r="AW311" s="4">
        <v>84</v>
      </c>
    </row>
    <row r="312" spans="1:49" x14ac:dyDescent="0.2">
      <c r="A312" s="1">
        <v>44415</v>
      </c>
      <c r="B312">
        <f>B311</f>
        <v>11.64</v>
      </c>
      <c r="C312" s="1" t="s">
        <v>57</v>
      </c>
      <c r="D312" s="1" t="s">
        <v>63</v>
      </c>
      <c r="E312" s="1" t="s">
        <v>69</v>
      </c>
      <c r="F312" s="1" t="s">
        <v>48</v>
      </c>
      <c r="G312">
        <v>3096</v>
      </c>
      <c r="H312" s="4">
        <v>94.25</v>
      </c>
      <c r="I312" s="4">
        <v>103</v>
      </c>
      <c r="J312" s="4">
        <v>86</v>
      </c>
      <c r="K312" s="4">
        <v>154.43</v>
      </c>
      <c r="L312" s="4">
        <v>79</v>
      </c>
      <c r="M312" s="4">
        <v>65</v>
      </c>
      <c r="N312" s="4">
        <v>85</v>
      </c>
      <c r="O312" s="4">
        <v>65</v>
      </c>
      <c r="P312" s="4">
        <v>53.681253605852397</v>
      </c>
      <c r="Q312" s="4">
        <v>64.839868434128903</v>
      </c>
      <c r="R312" s="4">
        <v>68</v>
      </c>
      <c r="S312" s="7" t="s">
        <v>32</v>
      </c>
      <c r="T312" s="4">
        <v>315988</v>
      </c>
      <c r="U312" s="4">
        <v>708793</v>
      </c>
      <c r="V312" s="4">
        <v>551</v>
      </c>
      <c r="W312" s="4">
        <v>122400</v>
      </c>
      <c r="X312" s="4">
        <v>202513</v>
      </c>
      <c r="Y312" s="4">
        <v>506280</v>
      </c>
      <c r="Z312" s="4">
        <v>120000</v>
      </c>
      <c r="AA312" s="4">
        <v>2400</v>
      </c>
      <c r="AB312" s="4">
        <v>66309</v>
      </c>
      <c r="AC312" s="4">
        <v>573554</v>
      </c>
      <c r="AD312" s="4">
        <v>551</v>
      </c>
      <c r="AE312" s="4">
        <v>12989</v>
      </c>
      <c r="AF312" s="4">
        <v>653403</v>
      </c>
      <c r="AG312" s="6">
        <v>22566</v>
      </c>
      <c r="AH312" s="6">
        <v>22268</v>
      </c>
      <c r="AI312" s="6">
        <v>298</v>
      </c>
      <c r="AJ312" s="6">
        <v>10097</v>
      </c>
      <c r="AK312" s="6">
        <v>5.4</v>
      </c>
      <c r="AL312" s="4">
        <v>729</v>
      </c>
      <c r="AM312" s="4">
        <v>5712</v>
      </c>
      <c r="AN312" s="4">
        <v>854</v>
      </c>
      <c r="AO312" s="6">
        <v>251573</v>
      </c>
      <c r="AP312" s="6">
        <v>37990</v>
      </c>
      <c r="AQ312" s="6">
        <v>213583</v>
      </c>
      <c r="AS312" s="6">
        <v>81.8</v>
      </c>
      <c r="AT312" s="6">
        <v>68.599999999999994</v>
      </c>
      <c r="AV312" s="4">
        <v>95</v>
      </c>
      <c r="AW312" s="4">
        <v>106</v>
      </c>
    </row>
    <row r="313" spans="1:49" x14ac:dyDescent="0.2">
      <c r="A313" s="1">
        <v>44414</v>
      </c>
      <c r="B313">
        <f t="shared" ref="B313:B317" si="43">B312</f>
        <v>11.64</v>
      </c>
      <c r="C313" s="1" t="s">
        <v>57</v>
      </c>
      <c r="D313" s="1" t="s">
        <v>63</v>
      </c>
      <c r="E313" s="1" t="s">
        <v>69</v>
      </c>
      <c r="F313" s="1" t="s">
        <v>48</v>
      </c>
      <c r="G313">
        <v>3102</v>
      </c>
      <c r="H313" s="4">
        <v>82.56</v>
      </c>
      <c r="I313" s="4">
        <v>112</v>
      </c>
      <c r="J313" s="4">
        <v>51</v>
      </c>
      <c r="K313" s="4">
        <v>136.22</v>
      </c>
      <c r="L313" s="4">
        <v>98</v>
      </c>
      <c r="M313" s="4">
        <v>67</v>
      </c>
      <c r="N313" s="4">
        <v>93</v>
      </c>
      <c r="O313" s="4">
        <v>55</v>
      </c>
      <c r="P313" s="4">
        <v>42.257873048429801</v>
      </c>
      <c r="Q313" s="4">
        <v>57.606505624597098</v>
      </c>
      <c r="R313" s="4">
        <v>65</v>
      </c>
      <c r="S313" s="7" t="s">
        <v>32</v>
      </c>
      <c r="T313" s="4">
        <v>338751</v>
      </c>
      <c r="U313" s="4">
        <v>704743</v>
      </c>
      <c r="V313" s="4">
        <v>3251</v>
      </c>
      <c r="W313" s="4">
        <v>122400</v>
      </c>
      <c r="X313" s="4">
        <v>202513</v>
      </c>
      <c r="Y313" s="4">
        <v>502230</v>
      </c>
      <c r="Z313" s="4">
        <v>120000</v>
      </c>
      <c r="AA313" s="4">
        <v>2400</v>
      </c>
      <c r="AB313" s="4">
        <v>84397</v>
      </c>
      <c r="AC313" s="4">
        <v>692816</v>
      </c>
      <c r="AD313" s="4">
        <v>1588</v>
      </c>
      <c r="AE313" s="4">
        <v>14769</v>
      </c>
      <c r="AF313" s="4">
        <v>793570</v>
      </c>
      <c r="AG313" s="6">
        <v>28058</v>
      </c>
      <c r="AH313" s="6">
        <v>27668</v>
      </c>
      <c r="AI313" s="6">
        <v>390</v>
      </c>
      <c r="AJ313" s="6">
        <v>5818</v>
      </c>
      <c r="AK313" s="6">
        <v>3.1</v>
      </c>
      <c r="AL313" s="4">
        <v>782</v>
      </c>
      <c r="AM313" s="4">
        <v>5761</v>
      </c>
      <c r="AN313" s="4">
        <v>870</v>
      </c>
      <c r="AO313" s="6">
        <v>205332</v>
      </c>
      <c r="AP313" s="6">
        <v>36976</v>
      </c>
      <c r="AQ313" s="6">
        <v>168356</v>
      </c>
      <c r="AS313" s="6">
        <v>81.7</v>
      </c>
      <c r="AT313" s="6">
        <v>68.2</v>
      </c>
      <c r="AV313" s="4">
        <v>95</v>
      </c>
      <c r="AW313" s="4">
        <v>98</v>
      </c>
    </row>
    <row r="314" spans="1:49" x14ac:dyDescent="0.2">
      <c r="A314" s="1">
        <v>44413</v>
      </c>
      <c r="B314">
        <f t="shared" si="43"/>
        <v>11.64</v>
      </c>
      <c r="C314" s="1" t="s">
        <v>57</v>
      </c>
      <c r="D314" s="1" t="s">
        <v>63</v>
      </c>
      <c r="E314" s="1" t="s">
        <v>69</v>
      </c>
      <c r="F314" s="1" t="s">
        <v>48</v>
      </c>
      <c r="G314">
        <v>3111</v>
      </c>
      <c r="H314" s="4">
        <v>71.66</v>
      </c>
      <c r="I314" s="4">
        <v>113</v>
      </c>
      <c r="J314" s="4">
        <v>49</v>
      </c>
      <c r="K314" s="4">
        <v>125</v>
      </c>
      <c r="L314" s="4">
        <v>110</v>
      </c>
      <c r="M314" s="4">
        <v>71</v>
      </c>
      <c r="N314" s="4">
        <v>93</v>
      </c>
      <c r="O314" s="4">
        <v>53</v>
      </c>
      <c r="P314" s="4">
        <v>42.632155063927399</v>
      </c>
      <c r="Q314" s="4">
        <v>57.527105820095599</v>
      </c>
      <c r="R314" s="4">
        <v>66</v>
      </c>
      <c r="S314" s="7" t="s">
        <v>32</v>
      </c>
      <c r="T314" s="4">
        <v>349821</v>
      </c>
      <c r="U314" s="4">
        <v>704773</v>
      </c>
      <c r="V314" s="4">
        <v>3366</v>
      </c>
      <c r="W314" s="4">
        <v>122400</v>
      </c>
      <c r="X314" s="4">
        <v>202513</v>
      </c>
      <c r="Y314" s="4">
        <v>502260</v>
      </c>
      <c r="Z314" s="4">
        <v>120000</v>
      </c>
      <c r="AA314" s="4">
        <v>2400</v>
      </c>
      <c r="AB314" s="4">
        <v>87963</v>
      </c>
      <c r="AC314" s="4">
        <v>725140</v>
      </c>
      <c r="AD314" s="4">
        <v>1362</v>
      </c>
      <c r="AE314" s="4">
        <v>15285</v>
      </c>
      <c r="AF314" s="4">
        <v>829750</v>
      </c>
      <c r="AG314" s="6">
        <v>31660</v>
      </c>
      <c r="AH314" s="6">
        <v>31248</v>
      </c>
      <c r="AI314" s="6">
        <v>412</v>
      </c>
      <c r="AJ314" s="6">
        <v>-516</v>
      </c>
      <c r="AK314" s="6">
        <v>-0.29999999999999899</v>
      </c>
      <c r="AL314" s="4">
        <v>812</v>
      </c>
      <c r="AM314" s="4">
        <v>5763</v>
      </c>
      <c r="AN314" s="4">
        <v>871</v>
      </c>
      <c r="AO314" s="6">
        <v>208192</v>
      </c>
      <c r="AP314" s="6">
        <v>35500</v>
      </c>
      <c r="AQ314" s="6">
        <v>172692</v>
      </c>
      <c r="AS314" s="6">
        <v>81.7</v>
      </c>
      <c r="AT314" s="6">
        <v>67.900000000000006</v>
      </c>
      <c r="AV314" s="4">
        <v>102</v>
      </c>
      <c r="AW314" s="4">
        <v>101</v>
      </c>
    </row>
    <row r="315" spans="1:49" x14ac:dyDescent="0.2">
      <c r="A315" s="1">
        <v>44412</v>
      </c>
      <c r="B315">
        <f t="shared" si="43"/>
        <v>11.64</v>
      </c>
      <c r="C315" s="1" t="s">
        <v>57</v>
      </c>
      <c r="D315" s="1" t="s">
        <v>63</v>
      </c>
      <c r="E315" s="1" t="s">
        <v>69</v>
      </c>
      <c r="F315" s="1" t="s">
        <v>48</v>
      </c>
      <c r="G315">
        <v>3098</v>
      </c>
      <c r="H315" s="4">
        <v>73.180000000000007</v>
      </c>
      <c r="I315" s="4">
        <v>112</v>
      </c>
      <c r="J315" s="4">
        <v>49</v>
      </c>
      <c r="K315" s="4">
        <v>136.27000000000001</v>
      </c>
      <c r="L315" s="4">
        <v>145</v>
      </c>
      <c r="M315" s="4">
        <v>74</v>
      </c>
      <c r="N315" s="4">
        <v>95</v>
      </c>
      <c r="O315" s="4">
        <v>54</v>
      </c>
      <c r="P315" s="4">
        <v>42.681765301688003</v>
      </c>
      <c r="Q315" s="4">
        <v>58.342539897101503</v>
      </c>
      <c r="R315" s="4">
        <v>67</v>
      </c>
      <c r="S315" s="7" t="s">
        <v>32</v>
      </c>
      <c r="T315" s="4">
        <v>380503</v>
      </c>
      <c r="U315" s="4">
        <v>703893</v>
      </c>
      <c r="V315" s="4">
        <v>4569</v>
      </c>
      <c r="W315" s="4">
        <v>122400</v>
      </c>
      <c r="X315" s="4">
        <v>202513</v>
      </c>
      <c r="Y315" s="4">
        <v>501380</v>
      </c>
      <c r="Z315" s="4">
        <v>120000</v>
      </c>
      <c r="AA315" s="4">
        <v>2400</v>
      </c>
      <c r="AB315" s="4">
        <v>103911</v>
      </c>
      <c r="AC315" s="4">
        <v>725117</v>
      </c>
      <c r="AD315" s="4">
        <v>1720</v>
      </c>
      <c r="AE315" s="4">
        <v>13062</v>
      </c>
      <c r="AF315" s="4">
        <v>843810</v>
      </c>
      <c r="AG315" s="6">
        <v>32337</v>
      </c>
      <c r="AH315" s="6">
        <v>31890</v>
      </c>
      <c r="AI315" s="6">
        <v>447</v>
      </c>
      <c r="AJ315" s="6">
        <v>-6590</v>
      </c>
      <c r="AK315" s="6">
        <v>-3.3999999999999901</v>
      </c>
      <c r="AL315" s="4">
        <v>836</v>
      </c>
      <c r="AM315" s="4">
        <v>5800</v>
      </c>
      <c r="AN315" s="4">
        <v>881</v>
      </c>
      <c r="AO315" s="6">
        <v>199003</v>
      </c>
      <c r="AP315" s="6">
        <v>33334</v>
      </c>
      <c r="AQ315" s="6">
        <v>165669</v>
      </c>
      <c r="AS315" s="6">
        <v>81.599999999999994</v>
      </c>
      <c r="AT315" s="6">
        <v>67.599999999999994</v>
      </c>
      <c r="AV315" s="4">
        <v>80</v>
      </c>
      <c r="AW315" s="4">
        <v>92</v>
      </c>
    </row>
    <row r="316" spans="1:49" x14ac:dyDescent="0.2">
      <c r="A316" s="1">
        <v>44411</v>
      </c>
      <c r="B316">
        <f t="shared" si="43"/>
        <v>11.64</v>
      </c>
      <c r="C316" s="1" t="s">
        <v>57</v>
      </c>
      <c r="D316" s="1" t="s">
        <v>63</v>
      </c>
      <c r="E316" s="1" t="s">
        <v>69</v>
      </c>
      <c r="F316" s="1" t="s">
        <v>48</v>
      </c>
      <c r="G316">
        <v>3087</v>
      </c>
      <c r="H316" s="4">
        <v>63.32</v>
      </c>
      <c r="I316" s="4">
        <v>113</v>
      </c>
      <c r="J316" s="4">
        <v>48</v>
      </c>
      <c r="K316" s="4">
        <v>124.07</v>
      </c>
      <c r="L316" s="4">
        <v>132</v>
      </c>
      <c r="M316" s="4">
        <v>73</v>
      </c>
      <c r="N316" s="4">
        <v>94</v>
      </c>
      <c r="O316" s="4">
        <v>53</v>
      </c>
      <c r="P316" s="4">
        <v>42.101781058505999</v>
      </c>
      <c r="Q316" s="4">
        <v>56.9342877465456</v>
      </c>
      <c r="R316" s="4">
        <v>64</v>
      </c>
      <c r="S316" s="7" t="s">
        <v>32</v>
      </c>
      <c r="T316" s="4">
        <v>322831</v>
      </c>
      <c r="U316" s="4">
        <v>703773</v>
      </c>
      <c r="V316" s="4">
        <v>2167</v>
      </c>
      <c r="W316" s="4">
        <v>122400</v>
      </c>
      <c r="X316" s="4">
        <v>202513</v>
      </c>
      <c r="Y316" s="4">
        <v>501260</v>
      </c>
      <c r="Z316" s="4">
        <v>120000</v>
      </c>
      <c r="AA316" s="4">
        <v>2400</v>
      </c>
      <c r="AB316" s="4">
        <v>105576</v>
      </c>
      <c r="AC316" s="4">
        <v>604610</v>
      </c>
      <c r="AD316" s="4">
        <v>1010</v>
      </c>
      <c r="AE316" s="4">
        <v>11370</v>
      </c>
      <c r="AF316" s="4">
        <v>722566</v>
      </c>
      <c r="AG316" s="6">
        <v>30445</v>
      </c>
      <c r="AH316" s="6">
        <v>30045</v>
      </c>
      <c r="AI316" s="6">
        <v>400</v>
      </c>
      <c r="AJ316" s="6">
        <v>-13988</v>
      </c>
      <c r="AK316" s="6">
        <v>-7</v>
      </c>
      <c r="AL316" s="4">
        <v>763</v>
      </c>
      <c r="AM316" s="4">
        <v>6014</v>
      </c>
      <c r="AN316" s="4">
        <v>887</v>
      </c>
      <c r="AO316" s="6">
        <v>172051</v>
      </c>
      <c r="AP316" s="6">
        <v>29290</v>
      </c>
      <c r="AQ316" s="6">
        <v>142761</v>
      </c>
      <c r="AS316" s="6">
        <v>81.5</v>
      </c>
      <c r="AT316" s="6">
        <v>67.3</v>
      </c>
      <c r="AV316" s="4">
        <v>74</v>
      </c>
      <c r="AW316" s="4">
        <v>80</v>
      </c>
    </row>
    <row r="317" spans="1:49" x14ac:dyDescent="0.2">
      <c r="A317" s="1">
        <v>44410</v>
      </c>
      <c r="B317">
        <f t="shared" si="43"/>
        <v>11.64</v>
      </c>
      <c r="C317" s="1" t="s">
        <v>57</v>
      </c>
      <c r="D317" s="1" t="s">
        <v>63</v>
      </c>
      <c r="E317" s="1" t="s">
        <v>69</v>
      </c>
      <c r="F317" s="1" t="s">
        <v>48</v>
      </c>
      <c r="G317">
        <v>3078</v>
      </c>
      <c r="H317" s="4">
        <v>60.42</v>
      </c>
      <c r="I317" s="4">
        <v>113</v>
      </c>
      <c r="J317" s="4">
        <v>48</v>
      </c>
      <c r="K317" s="4">
        <v>115.88</v>
      </c>
      <c r="L317" s="4">
        <v>140</v>
      </c>
      <c r="M317" s="4">
        <v>76</v>
      </c>
      <c r="N317" s="4">
        <v>96</v>
      </c>
      <c r="O317" s="4">
        <v>53</v>
      </c>
      <c r="P317" s="4">
        <v>40.564117070358002</v>
      </c>
      <c r="Q317" s="4">
        <v>56.850211103292501</v>
      </c>
      <c r="R317" s="4">
        <v>63</v>
      </c>
      <c r="S317" s="7" t="s">
        <v>32</v>
      </c>
      <c r="T317" s="4">
        <v>213854</v>
      </c>
      <c r="U317" s="4">
        <v>703513</v>
      </c>
      <c r="V317" s="4">
        <v>3338</v>
      </c>
      <c r="W317" s="4">
        <v>122400</v>
      </c>
      <c r="X317" s="4">
        <v>202513</v>
      </c>
      <c r="Y317" s="4">
        <v>501000</v>
      </c>
      <c r="Z317" s="4">
        <v>120000</v>
      </c>
      <c r="AA317" s="4">
        <v>2847</v>
      </c>
      <c r="AB317" s="4">
        <v>92470</v>
      </c>
      <c r="AC317" s="4">
        <v>638578</v>
      </c>
      <c r="AD317" s="4">
        <v>1136</v>
      </c>
      <c r="AE317" s="4">
        <v>11287</v>
      </c>
      <c r="AF317" s="4">
        <v>743471</v>
      </c>
      <c r="AG317" s="6">
        <v>29834</v>
      </c>
      <c r="AH317" s="6">
        <v>29412</v>
      </c>
      <c r="AI317" s="6">
        <v>422</v>
      </c>
      <c r="AJ317" s="6">
        <v>-25154</v>
      </c>
      <c r="AK317" s="6">
        <v>-12</v>
      </c>
      <c r="AL317" s="4">
        <v>788</v>
      </c>
      <c r="AM317" s="4">
        <v>6223</v>
      </c>
      <c r="AN317" s="4">
        <v>895</v>
      </c>
      <c r="AO317" s="6">
        <v>152284</v>
      </c>
      <c r="AP317" s="6">
        <v>26092</v>
      </c>
      <c r="AQ317" s="6">
        <v>126192</v>
      </c>
      <c r="AS317" s="6">
        <v>81.5</v>
      </c>
      <c r="AT317" s="6">
        <v>67.099999999999994</v>
      </c>
      <c r="AV317" s="4">
        <v>80</v>
      </c>
      <c r="AW317" s="4">
        <v>92</v>
      </c>
    </row>
    <row r="318" spans="1:49" x14ac:dyDescent="0.2">
      <c r="A318" s="1">
        <v>44409</v>
      </c>
      <c r="B318">
        <v>11.41</v>
      </c>
      <c r="C318" s="1" t="s">
        <v>57</v>
      </c>
      <c r="D318" s="1" t="s">
        <v>63</v>
      </c>
      <c r="E318" s="1" t="s">
        <v>69</v>
      </c>
      <c r="F318" s="1" t="s">
        <v>48</v>
      </c>
      <c r="G318">
        <v>3047</v>
      </c>
      <c r="H318" s="4">
        <v>89.5</v>
      </c>
      <c r="I318" s="4">
        <v>101</v>
      </c>
      <c r="J318" s="4">
        <v>91</v>
      </c>
      <c r="K318" s="4">
        <v>117.05</v>
      </c>
      <c r="L318" s="4">
        <v>116</v>
      </c>
      <c r="M318" s="4">
        <v>73</v>
      </c>
      <c r="N318" s="4">
        <v>87</v>
      </c>
      <c r="O318" s="4">
        <v>68</v>
      </c>
      <c r="P318" s="4">
        <v>56.094122153591499</v>
      </c>
      <c r="Q318" s="4">
        <v>70.3141540306504</v>
      </c>
      <c r="R318" s="4">
        <v>71</v>
      </c>
      <c r="S318" s="7" t="s">
        <v>32</v>
      </c>
      <c r="T318" s="4">
        <v>236371</v>
      </c>
      <c r="U318" s="4">
        <v>699013</v>
      </c>
      <c r="V318" s="4">
        <v>429</v>
      </c>
      <c r="W318" s="4">
        <v>122400</v>
      </c>
      <c r="X318" s="4">
        <v>202513</v>
      </c>
      <c r="Y318" s="4">
        <v>496500</v>
      </c>
      <c r="Z318" s="4">
        <v>120000</v>
      </c>
      <c r="AA318" s="4">
        <v>2400</v>
      </c>
      <c r="AB318" s="4">
        <v>73705</v>
      </c>
      <c r="AC318" s="4">
        <v>585661</v>
      </c>
      <c r="AD318" s="4">
        <v>47</v>
      </c>
      <c r="AE318" s="4">
        <v>12807</v>
      </c>
      <c r="AF318" s="4">
        <v>672220</v>
      </c>
      <c r="AG318" s="6">
        <v>20899</v>
      </c>
      <c r="AH318" s="6">
        <v>20636</v>
      </c>
      <c r="AI318" s="6">
        <v>263</v>
      </c>
      <c r="AJ318" s="6">
        <v>-42945</v>
      </c>
      <c r="AK318" s="6">
        <v>-18.899999999999899</v>
      </c>
      <c r="AL318" s="4">
        <v>739</v>
      </c>
      <c r="AM318" s="4">
        <v>5990</v>
      </c>
      <c r="AN318" s="4">
        <v>877</v>
      </c>
      <c r="AO318" s="6">
        <v>139276</v>
      </c>
      <c r="AP318" s="6">
        <v>21232</v>
      </c>
      <c r="AQ318" s="6">
        <v>118044</v>
      </c>
      <c r="AS318" s="6">
        <v>81.400000000000006</v>
      </c>
      <c r="AT318" s="6">
        <v>66.8</v>
      </c>
      <c r="AV318" s="4">
        <v>95</v>
      </c>
      <c r="AW318" s="4">
        <v>96</v>
      </c>
    </row>
    <row r="319" spans="1:49" x14ac:dyDescent="0.2">
      <c r="A319" s="1">
        <v>44408</v>
      </c>
      <c r="B319">
        <f>B318</f>
        <v>11.41</v>
      </c>
      <c r="C319" s="1" t="s">
        <v>57</v>
      </c>
      <c r="D319" s="1" t="s">
        <v>63</v>
      </c>
      <c r="E319" s="1" t="s">
        <v>69</v>
      </c>
      <c r="F319" s="1" t="s">
        <v>48</v>
      </c>
      <c r="G319">
        <v>3011</v>
      </c>
      <c r="H319" s="4">
        <v>96.68</v>
      </c>
      <c r="I319" s="4">
        <v>102</v>
      </c>
      <c r="J319" s="4">
        <v>88</v>
      </c>
      <c r="K319" s="4">
        <v>160.81</v>
      </c>
      <c r="L319" s="4">
        <v>93</v>
      </c>
      <c r="M319" s="4">
        <v>67</v>
      </c>
      <c r="N319" s="4">
        <v>89</v>
      </c>
      <c r="O319" s="4">
        <v>67</v>
      </c>
      <c r="P319" s="4">
        <v>47.383050098955501</v>
      </c>
      <c r="Q319" s="4">
        <v>65.424975887974298</v>
      </c>
      <c r="R319" s="4">
        <v>72</v>
      </c>
      <c r="S319" s="7" t="s">
        <v>32</v>
      </c>
      <c r="T319" s="4">
        <v>322812</v>
      </c>
      <c r="U319" s="4">
        <v>699013</v>
      </c>
      <c r="V319" s="4">
        <v>844</v>
      </c>
      <c r="W319" s="4">
        <v>122400</v>
      </c>
      <c r="X319" s="4">
        <v>202513</v>
      </c>
      <c r="Y319" s="4">
        <v>496500</v>
      </c>
      <c r="Z319" s="4">
        <v>120000</v>
      </c>
      <c r="AA319" s="4">
        <v>2400</v>
      </c>
      <c r="AB319" s="4">
        <v>72451</v>
      </c>
      <c r="AC319" s="4">
        <v>583317</v>
      </c>
      <c r="AD319" s="4">
        <v>175</v>
      </c>
      <c r="AE319" s="4">
        <v>13613</v>
      </c>
      <c r="AF319" s="4">
        <v>669556</v>
      </c>
      <c r="AG319" s="6">
        <v>20568</v>
      </c>
      <c r="AH319" s="6">
        <v>20268</v>
      </c>
      <c r="AI319" s="6">
        <v>300</v>
      </c>
      <c r="AJ319" s="6">
        <v>-55680</v>
      </c>
      <c r="AK319" s="6">
        <v>-23.1</v>
      </c>
      <c r="AL319" s="4">
        <v>676</v>
      </c>
      <c r="AM319" s="4">
        <v>5966</v>
      </c>
      <c r="AN319" s="4">
        <v>893</v>
      </c>
      <c r="AO319" s="6">
        <v>250840</v>
      </c>
      <c r="AP319" s="6">
        <v>38826</v>
      </c>
      <c r="AQ319" s="6">
        <v>212014</v>
      </c>
      <c r="AS319" s="6">
        <v>81.400000000000006</v>
      </c>
      <c r="AT319" s="6">
        <v>66.599999999999994</v>
      </c>
      <c r="AV319" s="4">
        <v>90</v>
      </c>
      <c r="AW319" s="4">
        <v>91</v>
      </c>
    </row>
    <row r="320" spans="1:49" x14ac:dyDescent="0.2">
      <c r="A320" s="1">
        <v>44407</v>
      </c>
      <c r="B320">
        <f t="shared" ref="B320:B324" si="44">B319</f>
        <v>11.41</v>
      </c>
      <c r="C320" s="1" t="s">
        <v>57</v>
      </c>
      <c r="D320" s="1" t="s">
        <v>63</v>
      </c>
      <c r="E320" s="1" t="s">
        <v>69</v>
      </c>
      <c r="F320" s="1" t="s">
        <v>48</v>
      </c>
      <c r="G320">
        <v>2966</v>
      </c>
      <c r="H320" s="4">
        <v>81.8</v>
      </c>
      <c r="I320" s="4">
        <v>113</v>
      </c>
      <c r="J320" s="4">
        <v>51</v>
      </c>
      <c r="K320" s="4">
        <v>132.28</v>
      </c>
      <c r="L320" s="4">
        <v>89</v>
      </c>
      <c r="M320" s="4">
        <v>67</v>
      </c>
      <c r="N320" s="4">
        <v>93</v>
      </c>
      <c r="O320" s="4">
        <v>55</v>
      </c>
      <c r="P320" s="4">
        <v>42.645116228406302</v>
      </c>
      <c r="Q320" s="4">
        <v>55.792400177279603</v>
      </c>
      <c r="R320" s="4">
        <v>66</v>
      </c>
      <c r="S320" s="7" t="s">
        <v>32</v>
      </c>
      <c r="T320" s="4">
        <v>367938</v>
      </c>
      <c r="U320" s="4">
        <v>699013</v>
      </c>
      <c r="V320" s="4">
        <v>1442</v>
      </c>
      <c r="W320" s="4">
        <v>122400</v>
      </c>
      <c r="X320" s="4">
        <v>202513</v>
      </c>
      <c r="Y320" s="4">
        <v>496500</v>
      </c>
      <c r="Z320" s="4">
        <v>120000</v>
      </c>
      <c r="AA320" s="4">
        <v>2400</v>
      </c>
      <c r="AB320" s="4">
        <v>85259</v>
      </c>
      <c r="AC320" s="4">
        <v>738916</v>
      </c>
      <c r="AD320" s="4">
        <v>986</v>
      </c>
      <c r="AE320" s="4">
        <v>13878</v>
      </c>
      <c r="AF320" s="4">
        <v>839039</v>
      </c>
      <c r="AG320" s="6">
        <v>24744</v>
      </c>
      <c r="AH320" s="6">
        <v>24398</v>
      </c>
      <c r="AI320" s="6">
        <v>346</v>
      </c>
      <c r="AJ320" s="6">
        <v>-69023</v>
      </c>
      <c r="AK320" s="6">
        <v>-26.899999999999899</v>
      </c>
      <c r="AL320" s="4">
        <v>746</v>
      </c>
      <c r="AM320" s="4">
        <v>6027</v>
      </c>
      <c r="AN320" s="4">
        <v>889</v>
      </c>
      <c r="AO320" s="6">
        <v>207820</v>
      </c>
      <c r="AP320" s="6">
        <v>36724</v>
      </c>
      <c r="AQ320" s="6">
        <v>171096</v>
      </c>
      <c r="AS320" s="6">
        <v>81.3</v>
      </c>
      <c r="AT320" s="6">
        <v>66.3</v>
      </c>
      <c r="AV320" s="4">
        <v>108</v>
      </c>
      <c r="AW320" s="4">
        <v>103</v>
      </c>
    </row>
    <row r="321" spans="1:49" x14ac:dyDescent="0.2">
      <c r="A321" s="1">
        <v>44406</v>
      </c>
      <c r="B321">
        <f t="shared" si="44"/>
        <v>11.41</v>
      </c>
      <c r="C321" s="1" t="s">
        <v>57</v>
      </c>
      <c r="D321" s="1" t="s">
        <v>63</v>
      </c>
      <c r="E321" s="1" t="s">
        <v>69</v>
      </c>
      <c r="F321" s="1" t="s">
        <v>48</v>
      </c>
      <c r="G321">
        <v>2929</v>
      </c>
      <c r="H321" s="4">
        <v>78.12</v>
      </c>
      <c r="I321" s="4">
        <v>112</v>
      </c>
      <c r="J321" s="4">
        <v>51</v>
      </c>
      <c r="K321" s="4">
        <v>131.16999999999999</v>
      </c>
      <c r="L321" s="4">
        <v>143</v>
      </c>
      <c r="M321" s="4">
        <v>75</v>
      </c>
      <c r="N321" s="4">
        <v>99</v>
      </c>
      <c r="O321" s="4">
        <v>54</v>
      </c>
      <c r="P321" s="4">
        <v>45.547222645496802</v>
      </c>
      <c r="Q321" s="4">
        <v>58.880043514458499</v>
      </c>
      <c r="R321" s="4">
        <v>65</v>
      </c>
      <c r="S321" s="7" t="s">
        <v>32</v>
      </c>
      <c r="T321" s="4">
        <v>365059</v>
      </c>
      <c r="U321" s="4">
        <v>699025</v>
      </c>
      <c r="V321" s="4">
        <v>2514</v>
      </c>
      <c r="W321" s="4">
        <v>122400</v>
      </c>
      <c r="X321" s="4">
        <v>202525</v>
      </c>
      <c r="Y321" s="4">
        <v>496500</v>
      </c>
      <c r="Z321" s="4">
        <v>120000</v>
      </c>
      <c r="AA321" s="4">
        <v>2650</v>
      </c>
      <c r="AB321" s="4">
        <v>87285</v>
      </c>
      <c r="AC321" s="4">
        <v>760327</v>
      </c>
      <c r="AD321" s="4">
        <v>1453</v>
      </c>
      <c r="AE321" s="4">
        <v>15723</v>
      </c>
      <c r="AF321" s="4">
        <v>864788</v>
      </c>
      <c r="AG321" s="6">
        <v>28430</v>
      </c>
      <c r="AH321" s="6">
        <v>28047</v>
      </c>
      <c r="AI321" s="6">
        <v>383</v>
      </c>
      <c r="AJ321" s="6">
        <v>-93501</v>
      </c>
      <c r="AK321" s="6">
        <v>-32.899999999999899</v>
      </c>
      <c r="AL321" s="4">
        <v>840</v>
      </c>
      <c r="AM321" s="4">
        <v>5994</v>
      </c>
      <c r="AN321" s="4">
        <v>869</v>
      </c>
      <c r="AO321" s="6">
        <v>222271</v>
      </c>
      <c r="AP321" s="6">
        <v>42353</v>
      </c>
      <c r="AQ321" s="6">
        <v>179918</v>
      </c>
      <c r="AS321" s="6">
        <v>81.3</v>
      </c>
      <c r="AT321" s="6">
        <v>66</v>
      </c>
      <c r="AV321" s="4">
        <v>81</v>
      </c>
      <c r="AW321" s="4">
        <v>88</v>
      </c>
    </row>
    <row r="322" spans="1:49" x14ac:dyDescent="0.2">
      <c r="A322" s="1">
        <v>44405</v>
      </c>
      <c r="B322">
        <f t="shared" si="44"/>
        <v>11.41</v>
      </c>
      <c r="C322" s="1" t="s">
        <v>57</v>
      </c>
      <c r="D322" s="1" t="s">
        <v>63</v>
      </c>
      <c r="E322" s="1" t="s">
        <v>69</v>
      </c>
      <c r="F322" s="1" t="s">
        <v>48</v>
      </c>
      <c r="G322">
        <v>2905</v>
      </c>
      <c r="H322" s="4">
        <v>66.31</v>
      </c>
      <c r="I322" s="4">
        <v>114</v>
      </c>
      <c r="J322" s="4">
        <v>50</v>
      </c>
      <c r="K322" s="4">
        <v>114.32</v>
      </c>
      <c r="L322" s="4">
        <v>99</v>
      </c>
      <c r="M322" s="4">
        <v>68</v>
      </c>
      <c r="N322" s="4">
        <v>90</v>
      </c>
      <c r="O322" s="4">
        <v>51</v>
      </c>
      <c r="P322" s="4">
        <v>42.661308960505998</v>
      </c>
      <c r="Q322" s="4">
        <v>55.169021693591198</v>
      </c>
      <c r="R322" s="4">
        <v>63</v>
      </c>
      <c r="S322" s="7" t="s">
        <v>32</v>
      </c>
      <c r="T322" s="4">
        <v>396094</v>
      </c>
      <c r="U322" s="4">
        <v>695025</v>
      </c>
      <c r="V322" s="4">
        <v>2440</v>
      </c>
      <c r="W322" s="4">
        <v>122400</v>
      </c>
      <c r="X322" s="4">
        <v>202525</v>
      </c>
      <c r="Y322" s="4">
        <v>492500</v>
      </c>
      <c r="Z322" s="4">
        <v>120000</v>
      </c>
      <c r="AA322" s="4">
        <v>2691</v>
      </c>
      <c r="AB322" s="4">
        <v>97800</v>
      </c>
      <c r="AC322" s="4">
        <v>790266</v>
      </c>
      <c r="AD322" s="4">
        <v>1018</v>
      </c>
      <c r="AE322" s="4">
        <v>14454</v>
      </c>
      <c r="AF322" s="4">
        <v>903538</v>
      </c>
      <c r="AG322" s="6">
        <v>30237</v>
      </c>
      <c r="AH322" s="6">
        <v>29831</v>
      </c>
      <c r="AI322" s="6">
        <v>406</v>
      </c>
      <c r="AJ322" s="6">
        <v>-121379</v>
      </c>
      <c r="AK322" s="6">
        <v>-38.5</v>
      </c>
      <c r="AL322" s="4">
        <v>852</v>
      </c>
      <c r="AM322" s="4">
        <v>6114</v>
      </c>
      <c r="AN322" s="4">
        <v>853</v>
      </c>
      <c r="AO322" s="6">
        <v>215020</v>
      </c>
      <c r="AP322" s="6">
        <v>43847</v>
      </c>
      <c r="AQ322" s="6">
        <v>171173</v>
      </c>
      <c r="AS322" s="6">
        <v>81.2</v>
      </c>
      <c r="AT322" s="6">
        <v>65.7</v>
      </c>
      <c r="AV322" s="4">
        <v>88</v>
      </c>
      <c r="AW322" s="4">
        <v>84</v>
      </c>
    </row>
    <row r="323" spans="1:49" x14ac:dyDescent="0.2">
      <c r="A323" s="1">
        <v>44404</v>
      </c>
      <c r="B323">
        <f t="shared" si="44"/>
        <v>11.41</v>
      </c>
      <c r="C323" s="1" t="s">
        <v>57</v>
      </c>
      <c r="D323" s="1" t="s">
        <v>63</v>
      </c>
      <c r="E323" s="1" t="s">
        <v>69</v>
      </c>
      <c r="F323" s="1" t="s">
        <v>48</v>
      </c>
      <c r="G323">
        <v>2889</v>
      </c>
      <c r="H323" s="4">
        <v>65.239999999999995</v>
      </c>
      <c r="I323" s="4">
        <v>114</v>
      </c>
      <c r="J323" s="4">
        <v>49</v>
      </c>
      <c r="K323" s="4">
        <v>114.84</v>
      </c>
      <c r="L323" s="4">
        <v>122</v>
      </c>
      <c r="M323" s="4">
        <v>71</v>
      </c>
      <c r="N323" s="4">
        <v>94</v>
      </c>
      <c r="O323" s="4">
        <v>52</v>
      </c>
      <c r="P323" s="4">
        <v>41.572899756083601</v>
      </c>
      <c r="Q323" s="4">
        <v>56.182585799498298</v>
      </c>
      <c r="R323" s="4">
        <v>62</v>
      </c>
      <c r="S323" s="7" t="s">
        <v>32</v>
      </c>
      <c r="T323" s="4">
        <v>369375</v>
      </c>
      <c r="U323" s="4">
        <v>691025</v>
      </c>
      <c r="V323" s="4">
        <v>2890</v>
      </c>
      <c r="W323" s="4">
        <v>122400</v>
      </c>
      <c r="X323" s="4">
        <v>202525</v>
      </c>
      <c r="Y323" s="4">
        <v>488500</v>
      </c>
      <c r="Z323" s="4">
        <v>120000</v>
      </c>
      <c r="AA323" s="4">
        <v>2400</v>
      </c>
      <c r="AB323" s="4">
        <v>109091</v>
      </c>
      <c r="AC323" s="4">
        <v>679970</v>
      </c>
      <c r="AD323" s="4">
        <v>1710</v>
      </c>
      <c r="AE323" s="4">
        <v>11183</v>
      </c>
      <c r="AF323" s="4">
        <v>801954</v>
      </c>
      <c r="AG323" s="6">
        <v>29574</v>
      </c>
      <c r="AH323" s="6">
        <v>29149</v>
      </c>
      <c r="AI323" s="6">
        <v>425</v>
      </c>
      <c r="AJ323" s="6">
        <v>-135455</v>
      </c>
      <c r="AK323" s="6">
        <v>-40.5</v>
      </c>
      <c r="AL323" s="4">
        <v>922</v>
      </c>
      <c r="AM323" s="4">
        <v>6105</v>
      </c>
      <c r="AN323" s="4">
        <v>848</v>
      </c>
      <c r="AO323" s="6">
        <v>187052</v>
      </c>
      <c r="AP323" s="6">
        <v>35402</v>
      </c>
      <c r="AQ323" s="6">
        <v>151650</v>
      </c>
      <c r="AS323" s="6">
        <v>81.099999999999994</v>
      </c>
      <c r="AT323" s="6">
        <v>65.400000000000006</v>
      </c>
      <c r="AV323" s="4">
        <v>72</v>
      </c>
      <c r="AW323" s="4">
        <v>77</v>
      </c>
    </row>
    <row r="324" spans="1:49" x14ac:dyDescent="0.2">
      <c r="A324" s="1">
        <v>44403</v>
      </c>
      <c r="B324">
        <f t="shared" si="44"/>
        <v>11.41</v>
      </c>
      <c r="C324" s="1" t="s">
        <v>57</v>
      </c>
      <c r="D324" s="1" t="s">
        <v>63</v>
      </c>
      <c r="E324" s="1" t="s">
        <v>69</v>
      </c>
      <c r="F324" s="1" t="s">
        <v>48</v>
      </c>
      <c r="G324">
        <v>2894</v>
      </c>
      <c r="H324" s="4">
        <v>56.58</v>
      </c>
      <c r="I324" s="4">
        <v>113</v>
      </c>
      <c r="J324" s="4">
        <v>49</v>
      </c>
      <c r="K324" s="4">
        <v>113.53</v>
      </c>
      <c r="L324" s="4">
        <v>153</v>
      </c>
      <c r="M324" s="4">
        <v>75</v>
      </c>
      <c r="N324" s="4">
        <v>99</v>
      </c>
      <c r="O324" s="4">
        <v>53</v>
      </c>
      <c r="P324" s="4">
        <v>40.237009911522399</v>
      </c>
      <c r="Q324" s="4">
        <v>56.628851993180398</v>
      </c>
      <c r="R324" s="4">
        <v>62</v>
      </c>
      <c r="S324" s="7" t="s">
        <v>32</v>
      </c>
      <c r="T324" s="4">
        <v>247812</v>
      </c>
      <c r="U324" s="4">
        <v>703325</v>
      </c>
      <c r="V324" s="4">
        <v>1667</v>
      </c>
      <c r="W324" s="4">
        <v>122400</v>
      </c>
      <c r="X324" s="4">
        <v>202525</v>
      </c>
      <c r="Y324" s="4">
        <v>500800</v>
      </c>
      <c r="Z324" s="4">
        <v>120000</v>
      </c>
      <c r="AA324" s="4">
        <v>2400</v>
      </c>
      <c r="AB324" s="4">
        <v>95730</v>
      </c>
      <c r="AC324" s="4">
        <v>716679</v>
      </c>
      <c r="AD324" s="4">
        <v>764</v>
      </c>
      <c r="AE324" s="4">
        <v>10152</v>
      </c>
      <c r="AF324" s="4">
        <v>823325</v>
      </c>
      <c r="AG324" s="6">
        <v>29977</v>
      </c>
      <c r="AH324" s="6">
        <v>29566</v>
      </c>
      <c r="AI324" s="6">
        <v>411</v>
      </c>
      <c r="AJ324" s="6">
        <v>-132995</v>
      </c>
      <c r="AK324" s="6">
        <v>-38.799999999999898</v>
      </c>
      <c r="AL324" s="4">
        <v>941</v>
      </c>
      <c r="AM324" s="4">
        <v>6010</v>
      </c>
      <c r="AN324" s="4">
        <v>820</v>
      </c>
      <c r="AO324" s="6">
        <v>178955</v>
      </c>
      <c r="AP324" s="6">
        <v>30019</v>
      </c>
      <c r="AQ324" s="6">
        <v>148936</v>
      </c>
      <c r="AS324" s="6">
        <v>81.099999999999994</v>
      </c>
      <c r="AT324" s="6">
        <v>65.099999999999994</v>
      </c>
      <c r="AV324" s="4">
        <v>76</v>
      </c>
      <c r="AW324" s="4">
        <v>79</v>
      </c>
    </row>
    <row r="325" spans="1:49" x14ac:dyDescent="0.2">
      <c r="A325" s="1">
        <v>44402</v>
      </c>
      <c r="B325">
        <v>7.01</v>
      </c>
      <c r="C325" s="1" t="s">
        <v>57</v>
      </c>
      <c r="D325" s="1" t="s">
        <v>63</v>
      </c>
      <c r="E325" s="1" t="s">
        <v>69</v>
      </c>
      <c r="F325" s="1" t="s">
        <v>48</v>
      </c>
      <c r="G325">
        <v>2897</v>
      </c>
      <c r="H325" s="4">
        <v>76.91</v>
      </c>
      <c r="I325" s="4">
        <v>102</v>
      </c>
      <c r="J325" s="4">
        <v>90</v>
      </c>
      <c r="K325" s="4">
        <v>98.15</v>
      </c>
      <c r="L325" s="4">
        <v>86</v>
      </c>
      <c r="M325" s="4">
        <v>65</v>
      </c>
      <c r="N325" s="4">
        <v>81</v>
      </c>
      <c r="O325" s="4">
        <v>64</v>
      </c>
      <c r="P325" s="4">
        <v>56.158913217459101</v>
      </c>
      <c r="Q325" s="4">
        <v>70.066376516116094</v>
      </c>
      <c r="R325" s="4">
        <v>69</v>
      </c>
      <c r="S325" s="7" t="s">
        <v>32</v>
      </c>
      <c r="T325" s="4">
        <v>282044</v>
      </c>
      <c r="U325" s="4">
        <v>686025</v>
      </c>
      <c r="V325" s="4">
        <v>53</v>
      </c>
      <c r="W325" s="4">
        <v>122400</v>
      </c>
      <c r="X325" s="4">
        <v>202525</v>
      </c>
      <c r="Y325" s="4">
        <v>483500</v>
      </c>
      <c r="Z325" s="4">
        <v>120000</v>
      </c>
      <c r="AA325" s="4">
        <v>2400</v>
      </c>
      <c r="AB325" s="4">
        <v>70141</v>
      </c>
      <c r="AC325" s="4">
        <v>709621</v>
      </c>
      <c r="AD325" s="4">
        <v>53</v>
      </c>
      <c r="AE325" s="4">
        <v>12327</v>
      </c>
      <c r="AF325" s="4">
        <v>792142</v>
      </c>
      <c r="AG325" s="6">
        <v>22172</v>
      </c>
      <c r="AH325" s="6">
        <v>21892</v>
      </c>
      <c r="AI325" s="6">
        <v>280</v>
      </c>
      <c r="AJ325" s="6">
        <v>-111655</v>
      </c>
      <c r="AK325" s="6">
        <v>-32.899999999999899</v>
      </c>
      <c r="AL325" s="4">
        <v>939</v>
      </c>
      <c r="AM325" s="4">
        <v>5653</v>
      </c>
      <c r="AN325" s="4">
        <v>779</v>
      </c>
      <c r="AO325" s="6">
        <v>142507</v>
      </c>
      <c r="AP325" s="6">
        <v>24551</v>
      </c>
      <c r="AQ325" s="6">
        <v>117956</v>
      </c>
      <c r="AS325" s="6">
        <v>81</v>
      </c>
      <c r="AT325" s="6">
        <v>64.8</v>
      </c>
      <c r="AV325" s="4">
        <v>72</v>
      </c>
      <c r="AW325" s="4">
        <v>71</v>
      </c>
    </row>
    <row r="326" spans="1:49" x14ac:dyDescent="0.2">
      <c r="A326" s="1">
        <v>44401</v>
      </c>
      <c r="B326">
        <f>B325</f>
        <v>7.01</v>
      </c>
      <c r="C326" s="1" t="s">
        <v>57</v>
      </c>
      <c r="D326" s="1" t="s">
        <v>63</v>
      </c>
      <c r="E326" s="1" t="s">
        <v>69</v>
      </c>
      <c r="F326" s="1" t="s">
        <v>48</v>
      </c>
      <c r="G326">
        <v>2882</v>
      </c>
      <c r="H326" s="4">
        <v>87.32</v>
      </c>
      <c r="I326" s="4">
        <v>103</v>
      </c>
      <c r="J326" s="4">
        <v>88</v>
      </c>
      <c r="K326" s="4">
        <v>147</v>
      </c>
      <c r="L326" s="4">
        <v>96</v>
      </c>
      <c r="M326" s="4">
        <v>65</v>
      </c>
      <c r="N326" s="4">
        <v>89</v>
      </c>
      <c r="O326" s="4">
        <v>65</v>
      </c>
      <c r="P326" s="4">
        <v>50.647642228993497</v>
      </c>
      <c r="Q326" s="4">
        <v>65.871261300985097</v>
      </c>
      <c r="R326" s="4">
        <v>67</v>
      </c>
      <c r="S326" s="7" t="s">
        <v>32</v>
      </c>
      <c r="T326" s="4">
        <v>367222</v>
      </c>
      <c r="U326" s="4">
        <v>686025</v>
      </c>
      <c r="V326" s="4">
        <v>619</v>
      </c>
      <c r="W326" s="4">
        <v>122400</v>
      </c>
      <c r="X326" s="4">
        <v>202525</v>
      </c>
      <c r="Y326" s="4">
        <v>483500</v>
      </c>
      <c r="Z326" s="4">
        <v>120000</v>
      </c>
      <c r="AA326" s="4">
        <v>2400</v>
      </c>
      <c r="AB326" s="4">
        <v>75809</v>
      </c>
      <c r="AC326" s="4">
        <v>664538</v>
      </c>
      <c r="AD326" s="4">
        <v>619</v>
      </c>
      <c r="AE326" s="4">
        <v>12403</v>
      </c>
      <c r="AF326" s="4">
        <v>753369</v>
      </c>
      <c r="AG326" s="6">
        <v>22849</v>
      </c>
      <c r="AH326" s="6">
        <v>22565</v>
      </c>
      <c r="AI326" s="6">
        <v>284</v>
      </c>
      <c r="AJ326" s="6">
        <v>-91969</v>
      </c>
      <c r="AK326" s="6">
        <v>-27.6</v>
      </c>
      <c r="AL326" s="4">
        <v>828</v>
      </c>
      <c r="AM326" s="4">
        <v>5384</v>
      </c>
      <c r="AN326" s="4">
        <v>755</v>
      </c>
      <c r="AO326" s="6">
        <v>247691</v>
      </c>
      <c r="AP326" s="6">
        <v>43805</v>
      </c>
      <c r="AQ326" s="6">
        <v>203886</v>
      </c>
      <c r="AS326" s="6">
        <v>81</v>
      </c>
      <c r="AT326" s="6">
        <v>64.599999999999994</v>
      </c>
      <c r="AV326" s="4">
        <v>74</v>
      </c>
      <c r="AW326" s="4">
        <v>69</v>
      </c>
    </row>
    <row r="327" spans="1:49" x14ac:dyDescent="0.2">
      <c r="A327" s="1">
        <v>44400</v>
      </c>
      <c r="B327">
        <f t="shared" ref="B327:B331" si="45">B326</f>
        <v>7.01</v>
      </c>
      <c r="C327" s="1" t="s">
        <v>57</v>
      </c>
      <c r="D327" s="1" t="s">
        <v>63</v>
      </c>
      <c r="E327" s="1" t="s">
        <v>69</v>
      </c>
      <c r="F327" s="1" t="s">
        <v>48</v>
      </c>
      <c r="G327">
        <v>2882</v>
      </c>
      <c r="H327" s="4">
        <v>77.7</v>
      </c>
      <c r="I327" s="4">
        <v>111</v>
      </c>
      <c r="J327" s="4">
        <v>55</v>
      </c>
      <c r="K327" s="4">
        <v>135.04</v>
      </c>
      <c r="L327" s="4">
        <v>135</v>
      </c>
      <c r="M327" s="4">
        <v>70</v>
      </c>
      <c r="N327" s="4">
        <v>99</v>
      </c>
      <c r="O327" s="4">
        <v>57</v>
      </c>
      <c r="P327" s="4">
        <v>43.578034422535197</v>
      </c>
      <c r="Q327" s="4">
        <v>60.515981212088597</v>
      </c>
      <c r="R327" s="4">
        <v>65</v>
      </c>
      <c r="S327" s="7" t="s">
        <v>32</v>
      </c>
      <c r="T327" s="4">
        <v>385946</v>
      </c>
      <c r="U327" s="4">
        <v>680025</v>
      </c>
      <c r="V327" s="4">
        <v>2330</v>
      </c>
      <c r="W327" s="4">
        <v>122400</v>
      </c>
      <c r="X327" s="4">
        <v>202525</v>
      </c>
      <c r="Y327" s="4">
        <v>477500</v>
      </c>
      <c r="Z327" s="4">
        <v>120000</v>
      </c>
      <c r="AA327" s="4">
        <v>2400</v>
      </c>
      <c r="AB327" s="4">
        <v>81371</v>
      </c>
      <c r="AC327" s="4">
        <v>812806</v>
      </c>
      <c r="AD327" s="4">
        <v>1038</v>
      </c>
      <c r="AE327" s="4">
        <v>14808</v>
      </c>
      <c r="AF327" s="4">
        <v>910023</v>
      </c>
      <c r="AG327" s="6">
        <v>27764</v>
      </c>
      <c r="AH327" s="6">
        <v>27424</v>
      </c>
      <c r="AI327" s="6">
        <v>340</v>
      </c>
      <c r="AJ327" s="6">
        <v>-66245</v>
      </c>
      <c r="AK327" s="6">
        <v>-20.5</v>
      </c>
      <c r="AL327" s="4">
        <v>867</v>
      </c>
      <c r="AM327" s="4">
        <v>5317</v>
      </c>
      <c r="AN327" s="4">
        <v>715</v>
      </c>
      <c r="AO327" s="6">
        <v>232315</v>
      </c>
      <c r="AP327" s="6">
        <v>42974</v>
      </c>
      <c r="AQ327" s="6">
        <v>189341</v>
      </c>
      <c r="AS327" s="6">
        <v>80.900000000000006</v>
      </c>
      <c r="AT327" s="6">
        <v>64.3</v>
      </c>
      <c r="AV327" s="4">
        <v>85</v>
      </c>
      <c r="AW327" s="4">
        <v>83</v>
      </c>
    </row>
    <row r="328" spans="1:49" x14ac:dyDescent="0.2">
      <c r="A328" s="1">
        <v>44399</v>
      </c>
      <c r="B328">
        <f t="shared" si="45"/>
        <v>7.01</v>
      </c>
      <c r="C328" s="1" t="s">
        <v>57</v>
      </c>
      <c r="D328" s="1" t="s">
        <v>63</v>
      </c>
      <c r="E328" s="1" t="s">
        <v>69</v>
      </c>
      <c r="F328" s="1" t="s">
        <v>48</v>
      </c>
      <c r="G328">
        <v>2877</v>
      </c>
      <c r="H328" s="4">
        <v>69.78</v>
      </c>
      <c r="I328" s="4">
        <v>112</v>
      </c>
      <c r="J328" s="4">
        <v>54</v>
      </c>
      <c r="K328" s="4">
        <v>122.97</v>
      </c>
      <c r="L328" s="4">
        <v>153</v>
      </c>
      <c r="M328" s="4">
        <v>72</v>
      </c>
      <c r="N328" s="4">
        <v>102</v>
      </c>
      <c r="O328" s="4">
        <v>55</v>
      </c>
      <c r="P328" s="4">
        <v>43.050945696398898</v>
      </c>
      <c r="Q328" s="4">
        <v>60.018174388299897</v>
      </c>
      <c r="R328" s="4">
        <v>66</v>
      </c>
      <c r="S328" s="7" t="s">
        <v>32</v>
      </c>
      <c r="T328" s="4">
        <v>409628</v>
      </c>
      <c r="U328" s="4">
        <v>659885</v>
      </c>
      <c r="V328" s="4">
        <v>2873</v>
      </c>
      <c r="W328" s="4">
        <v>122400</v>
      </c>
      <c r="X328" s="4">
        <v>202385</v>
      </c>
      <c r="Y328" s="4">
        <v>457500</v>
      </c>
      <c r="Z328" s="4">
        <v>120000</v>
      </c>
      <c r="AA328" s="4">
        <v>2400</v>
      </c>
      <c r="AB328" s="4">
        <v>95468</v>
      </c>
      <c r="AC328" s="4">
        <v>904735</v>
      </c>
      <c r="AD328" s="4">
        <v>1283</v>
      </c>
      <c r="AE328" s="4">
        <v>14451</v>
      </c>
      <c r="AF328" s="4">
        <v>1015937</v>
      </c>
      <c r="AG328" s="6">
        <v>31274</v>
      </c>
      <c r="AH328" s="6">
        <v>30908</v>
      </c>
      <c r="AI328" s="6">
        <v>366</v>
      </c>
      <c r="AJ328" s="6">
        <v>-16284</v>
      </c>
      <c r="AK328" s="6">
        <v>-5.4</v>
      </c>
      <c r="AL328" s="4">
        <v>955</v>
      </c>
      <c r="AM328" s="4">
        <v>5107</v>
      </c>
      <c r="AN328" s="4">
        <v>699</v>
      </c>
      <c r="AO328" s="6">
        <v>232333</v>
      </c>
      <c r="AP328" s="6">
        <v>44036</v>
      </c>
      <c r="AQ328" s="6">
        <v>188297</v>
      </c>
      <c r="AS328" s="6">
        <v>80.8</v>
      </c>
      <c r="AT328" s="6">
        <v>63.9</v>
      </c>
      <c r="AV328" s="4">
        <v>78</v>
      </c>
      <c r="AW328" s="4">
        <v>85</v>
      </c>
    </row>
    <row r="329" spans="1:49" x14ac:dyDescent="0.2">
      <c r="A329" s="1">
        <v>44398</v>
      </c>
      <c r="B329">
        <f t="shared" si="45"/>
        <v>7.01</v>
      </c>
      <c r="C329" s="1" t="s">
        <v>57</v>
      </c>
      <c r="D329" s="1" t="s">
        <v>63</v>
      </c>
      <c r="E329" s="1" t="s">
        <v>69</v>
      </c>
      <c r="F329" s="1" t="s">
        <v>48</v>
      </c>
      <c r="G329">
        <v>2831</v>
      </c>
      <c r="H329" s="4">
        <v>63.84</v>
      </c>
      <c r="I329" s="4">
        <v>112</v>
      </c>
      <c r="J329" s="4">
        <v>55</v>
      </c>
      <c r="K329" s="4">
        <v>117.9</v>
      </c>
      <c r="L329" s="4">
        <v>148</v>
      </c>
      <c r="M329" s="4">
        <v>71</v>
      </c>
      <c r="N329" s="4">
        <v>101</v>
      </c>
      <c r="O329" s="4">
        <v>54</v>
      </c>
      <c r="P329" s="4">
        <v>41.522149512297503</v>
      </c>
      <c r="Q329" s="4">
        <v>60.289978588925997</v>
      </c>
      <c r="R329" s="4">
        <v>65</v>
      </c>
      <c r="S329" s="7" t="s">
        <v>32</v>
      </c>
      <c r="T329" s="4">
        <v>412917</v>
      </c>
      <c r="U329" s="4">
        <v>659085</v>
      </c>
      <c r="V329" s="4">
        <v>3431</v>
      </c>
      <c r="W329" s="4">
        <v>122400</v>
      </c>
      <c r="X329" s="4">
        <v>202385</v>
      </c>
      <c r="Y329" s="4">
        <v>456700</v>
      </c>
      <c r="Z329" s="4">
        <v>120000</v>
      </c>
      <c r="AA329" s="4">
        <v>2400</v>
      </c>
      <c r="AB329" s="4">
        <v>99995</v>
      </c>
      <c r="AC329" s="4">
        <v>917297</v>
      </c>
      <c r="AD329" s="4">
        <v>1334</v>
      </c>
      <c r="AE329" s="4">
        <v>15995</v>
      </c>
      <c r="AF329" s="4">
        <v>1034621</v>
      </c>
      <c r="AG329" s="6">
        <v>35535</v>
      </c>
      <c r="AH329" s="6">
        <v>35114</v>
      </c>
      <c r="AI329" s="6">
        <v>421</v>
      </c>
      <c r="AJ329" s="6">
        <v>42435</v>
      </c>
      <c r="AK329" s="6">
        <v>15.5999999999999</v>
      </c>
      <c r="AL329" s="4">
        <v>930</v>
      </c>
      <c r="AM329" s="4">
        <v>4936</v>
      </c>
      <c r="AN329" s="4">
        <v>647</v>
      </c>
      <c r="AO329" s="6">
        <v>228439</v>
      </c>
      <c r="AP329" s="6">
        <v>45101</v>
      </c>
      <c r="AQ329" s="6">
        <v>183338</v>
      </c>
      <c r="AS329" s="6">
        <v>80.7</v>
      </c>
      <c r="AT329" s="6">
        <v>63.6</v>
      </c>
      <c r="AV329" s="4">
        <v>55</v>
      </c>
      <c r="AW329" s="4">
        <v>61</v>
      </c>
    </row>
    <row r="330" spans="1:49" x14ac:dyDescent="0.2">
      <c r="A330" s="1">
        <v>44397</v>
      </c>
      <c r="B330">
        <f t="shared" si="45"/>
        <v>7.01</v>
      </c>
      <c r="C330" s="1" t="s">
        <v>57</v>
      </c>
      <c r="D330" s="1" t="s">
        <v>63</v>
      </c>
      <c r="E330" s="1" t="s">
        <v>69</v>
      </c>
      <c r="F330" s="1" t="s">
        <v>48</v>
      </c>
      <c r="G330">
        <v>2788</v>
      </c>
      <c r="H330" s="4">
        <v>59.4</v>
      </c>
      <c r="I330" s="4">
        <v>112</v>
      </c>
      <c r="J330" s="4">
        <v>52</v>
      </c>
      <c r="K330" s="4">
        <v>108.4</v>
      </c>
      <c r="L330" s="4">
        <v>145</v>
      </c>
      <c r="M330" s="4">
        <v>69</v>
      </c>
      <c r="N330" s="4">
        <v>99</v>
      </c>
      <c r="O330" s="4">
        <v>54</v>
      </c>
      <c r="P330" s="4">
        <v>40.120067393082799</v>
      </c>
      <c r="Q330" s="4">
        <v>59.601379641655498</v>
      </c>
      <c r="R330" s="4">
        <v>63</v>
      </c>
      <c r="S330" s="7" t="s">
        <v>32</v>
      </c>
      <c r="T330" s="4">
        <v>404394</v>
      </c>
      <c r="U330" s="4">
        <v>646085</v>
      </c>
      <c r="V330" s="4">
        <v>2625</v>
      </c>
      <c r="W330" s="4">
        <v>122400</v>
      </c>
      <c r="X330" s="4">
        <v>202385</v>
      </c>
      <c r="Y330" s="4">
        <v>443700</v>
      </c>
      <c r="Z330" s="4">
        <v>120000</v>
      </c>
      <c r="AA330" s="4">
        <v>2400</v>
      </c>
      <c r="AB330" s="4">
        <v>103438</v>
      </c>
      <c r="AC330" s="4">
        <v>772586</v>
      </c>
      <c r="AD330" s="4">
        <v>1167</v>
      </c>
      <c r="AE330" s="4">
        <v>10276</v>
      </c>
      <c r="AF330" s="4">
        <v>887467</v>
      </c>
      <c r="AG330" s="6">
        <v>39869</v>
      </c>
      <c r="AH330" s="6">
        <v>39288</v>
      </c>
      <c r="AI330" s="6">
        <v>581</v>
      </c>
      <c r="AJ330" s="6">
        <v>78125</v>
      </c>
      <c r="AK330" s="6">
        <v>30.5</v>
      </c>
      <c r="AL330" s="4">
        <v>938</v>
      </c>
      <c r="AM330" s="4">
        <v>4748</v>
      </c>
      <c r="AN330" s="4">
        <v>618</v>
      </c>
      <c r="AO330" s="6">
        <v>200314</v>
      </c>
      <c r="AP330" s="6">
        <v>39035</v>
      </c>
      <c r="AQ330" s="6">
        <v>161279</v>
      </c>
      <c r="AS330" s="6">
        <v>80.7</v>
      </c>
      <c r="AT330" s="6">
        <v>63.3</v>
      </c>
      <c r="AV330" s="4">
        <v>58</v>
      </c>
      <c r="AW330" s="4">
        <v>68</v>
      </c>
    </row>
    <row r="331" spans="1:49" x14ac:dyDescent="0.2">
      <c r="A331" s="1">
        <v>44396</v>
      </c>
      <c r="B331">
        <f t="shared" si="45"/>
        <v>7.01</v>
      </c>
      <c r="C331" s="1" t="s">
        <v>57</v>
      </c>
      <c r="D331" s="1" t="s">
        <v>63</v>
      </c>
      <c r="E331" s="1" t="s">
        <v>69</v>
      </c>
      <c r="F331" s="1" t="s">
        <v>48</v>
      </c>
      <c r="G331">
        <v>2729</v>
      </c>
      <c r="H331" s="4">
        <v>50.56</v>
      </c>
      <c r="I331" s="4">
        <v>112</v>
      </c>
      <c r="J331" s="4">
        <v>54</v>
      </c>
      <c r="K331" s="4">
        <v>106.09</v>
      </c>
      <c r="L331" s="4">
        <v>153</v>
      </c>
      <c r="M331" s="4">
        <v>74</v>
      </c>
      <c r="N331" s="4">
        <v>104</v>
      </c>
      <c r="O331" s="4">
        <v>54</v>
      </c>
      <c r="P331" s="4">
        <v>40.153648147994097</v>
      </c>
      <c r="Q331" s="4">
        <v>60.970993132829101</v>
      </c>
      <c r="R331" s="4">
        <v>62</v>
      </c>
      <c r="S331" s="7" t="s">
        <v>32</v>
      </c>
      <c r="T331" s="4">
        <v>356566</v>
      </c>
      <c r="U331" s="4">
        <v>629385</v>
      </c>
      <c r="V331" s="4">
        <v>2443</v>
      </c>
      <c r="W331" s="4">
        <v>122400</v>
      </c>
      <c r="X331" s="4">
        <v>202385</v>
      </c>
      <c r="Y331" s="4">
        <v>427000</v>
      </c>
      <c r="Z331" s="4">
        <v>120000</v>
      </c>
      <c r="AA331" s="4">
        <v>2400</v>
      </c>
      <c r="AB331" s="4">
        <v>91887</v>
      </c>
      <c r="AC331" s="4">
        <v>988703</v>
      </c>
      <c r="AD331" s="4">
        <v>1007</v>
      </c>
      <c r="AE331" s="4">
        <v>9205</v>
      </c>
      <c r="AF331" s="4">
        <v>1090802</v>
      </c>
      <c r="AG331" s="6">
        <v>47911</v>
      </c>
      <c r="AH331" s="6">
        <v>47280</v>
      </c>
      <c r="AI331" s="6">
        <v>631</v>
      </c>
      <c r="AJ331" s="6">
        <v>97624</v>
      </c>
      <c r="AK331" s="6">
        <v>39.899999999999899</v>
      </c>
      <c r="AL331" s="4">
        <v>877</v>
      </c>
      <c r="AM331" s="4">
        <v>4655</v>
      </c>
      <c r="AN331" s="4">
        <v>611</v>
      </c>
      <c r="AO331" s="6">
        <v>179230</v>
      </c>
      <c r="AP331" s="6">
        <v>35670</v>
      </c>
      <c r="AQ331" s="6">
        <v>143560</v>
      </c>
      <c r="AS331" s="6">
        <v>80.599999999999994</v>
      </c>
      <c r="AT331" s="6">
        <v>63</v>
      </c>
      <c r="AV331" s="4">
        <v>82</v>
      </c>
      <c r="AW331" s="4">
        <v>88</v>
      </c>
    </row>
    <row r="332" spans="1:49" x14ac:dyDescent="0.2">
      <c r="A332" s="1">
        <v>44395</v>
      </c>
      <c r="B332">
        <v>4.33</v>
      </c>
      <c r="C332" s="1" t="s">
        <v>57</v>
      </c>
      <c r="D332" s="1" t="s">
        <v>62</v>
      </c>
      <c r="E332" s="1" t="s">
        <v>65</v>
      </c>
      <c r="F332" s="1" t="s">
        <v>48</v>
      </c>
      <c r="G332">
        <v>2652</v>
      </c>
      <c r="H332" s="4">
        <v>80.05</v>
      </c>
      <c r="I332" s="4">
        <v>100</v>
      </c>
      <c r="J332" s="4">
        <v>91</v>
      </c>
      <c r="K332" s="4">
        <v>107.34</v>
      </c>
      <c r="L332" s="4">
        <v>150</v>
      </c>
      <c r="M332" s="4">
        <v>67</v>
      </c>
      <c r="N332" s="4">
        <v>93</v>
      </c>
      <c r="O332" s="4">
        <v>67</v>
      </c>
      <c r="P332" s="4">
        <v>58.843200426833</v>
      </c>
      <c r="Q332" s="4">
        <v>77.713448838636893</v>
      </c>
      <c r="R332" s="4">
        <v>71</v>
      </c>
      <c r="S332" s="7" t="s">
        <v>32</v>
      </c>
      <c r="T332" s="4">
        <v>323051</v>
      </c>
      <c r="U332" s="4">
        <v>652385</v>
      </c>
      <c r="V332" s="4">
        <v>85</v>
      </c>
      <c r="W332" s="4">
        <v>122400</v>
      </c>
      <c r="X332" s="4">
        <v>202385</v>
      </c>
      <c r="Y332" s="4">
        <v>450000</v>
      </c>
      <c r="Z332" s="4">
        <v>120000</v>
      </c>
      <c r="AA332" s="4">
        <v>2400</v>
      </c>
      <c r="AB332" s="4">
        <v>67697</v>
      </c>
      <c r="AC332" s="4">
        <v>961769</v>
      </c>
      <c r="AD332" s="4">
        <v>85</v>
      </c>
      <c r="AE332" s="4">
        <v>12387</v>
      </c>
      <c r="AF332" s="4">
        <v>1041938</v>
      </c>
      <c r="AG332" s="6">
        <v>36180</v>
      </c>
      <c r="AH332" s="6">
        <v>35756</v>
      </c>
      <c r="AI332" s="6">
        <v>424</v>
      </c>
      <c r="AJ332" s="6">
        <v>103826</v>
      </c>
      <c r="AK332" s="6">
        <v>44.1</v>
      </c>
      <c r="AL332" s="4">
        <v>799</v>
      </c>
      <c r="AM332" s="4">
        <v>4351</v>
      </c>
      <c r="AN332" s="4">
        <v>582</v>
      </c>
      <c r="AO332" s="6">
        <v>147064</v>
      </c>
      <c r="AP332" s="6">
        <v>18186</v>
      </c>
      <c r="AQ332" s="6">
        <v>128878</v>
      </c>
      <c r="AS332" s="6">
        <v>80.5</v>
      </c>
      <c r="AT332" s="6">
        <v>62.8</v>
      </c>
      <c r="AV332" s="4">
        <v>69</v>
      </c>
      <c r="AW332" s="4">
        <v>72</v>
      </c>
    </row>
    <row r="333" spans="1:49" x14ac:dyDescent="0.2">
      <c r="A333" s="1">
        <v>44394</v>
      </c>
      <c r="B333">
        <f>B332</f>
        <v>4.33</v>
      </c>
      <c r="C333" s="1" t="s">
        <v>57</v>
      </c>
      <c r="D333" s="1" t="s">
        <v>62</v>
      </c>
      <c r="E333" s="1" t="s">
        <v>65</v>
      </c>
      <c r="F333" s="1" t="s">
        <v>48</v>
      </c>
      <c r="G333">
        <v>2588</v>
      </c>
      <c r="H333" s="4">
        <v>92.44</v>
      </c>
      <c r="I333" s="4">
        <v>101</v>
      </c>
      <c r="J333" s="4">
        <v>89</v>
      </c>
      <c r="K333" s="4">
        <v>154.21</v>
      </c>
      <c r="L333" s="4">
        <v>134</v>
      </c>
      <c r="M333" s="4">
        <v>66</v>
      </c>
      <c r="N333" s="4">
        <v>96</v>
      </c>
      <c r="O333" s="4">
        <v>67</v>
      </c>
      <c r="P333" s="4">
        <v>51.776117755163298</v>
      </c>
      <c r="Q333" s="4">
        <v>72.142582774564303</v>
      </c>
      <c r="R333" s="4">
        <v>72</v>
      </c>
      <c r="S333" s="7" t="s">
        <v>32</v>
      </c>
      <c r="T333" s="4">
        <v>402031</v>
      </c>
      <c r="U333" s="4">
        <v>652385</v>
      </c>
      <c r="V333" s="4">
        <v>401</v>
      </c>
      <c r="W333" s="4">
        <v>122400</v>
      </c>
      <c r="X333" s="4">
        <v>202385</v>
      </c>
      <c r="Y333" s="4">
        <v>450000</v>
      </c>
      <c r="Z333" s="4">
        <v>120000</v>
      </c>
      <c r="AA333" s="4">
        <v>2400</v>
      </c>
      <c r="AB333" s="4">
        <v>64017</v>
      </c>
      <c r="AC333" s="4">
        <v>702174</v>
      </c>
      <c r="AD333" s="4">
        <v>401</v>
      </c>
      <c r="AE333" s="4">
        <v>13130</v>
      </c>
      <c r="AF333" s="4">
        <v>779722</v>
      </c>
      <c r="AG333" s="6">
        <v>38473</v>
      </c>
      <c r="AH333" s="6">
        <v>38064</v>
      </c>
      <c r="AI333" s="6">
        <v>409</v>
      </c>
      <c r="AJ333" s="6">
        <v>103495</v>
      </c>
      <c r="AK333" s="6">
        <v>45</v>
      </c>
      <c r="AL333" s="4">
        <v>710</v>
      </c>
      <c r="AM333" s="4">
        <v>4235</v>
      </c>
      <c r="AN333" s="4">
        <v>583</v>
      </c>
      <c r="AO333" s="6">
        <v>292431</v>
      </c>
      <c r="AP333" s="6">
        <v>67217</v>
      </c>
      <c r="AQ333" s="6">
        <v>225214</v>
      </c>
      <c r="AS333" s="6">
        <v>80.5</v>
      </c>
      <c r="AT333" s="6">
        <v>62.5</v>
      </c>
      <c r="AV333" s="4">
        <v>52</v>
      </c>
      <c r="AW333" s="4">
        <v>60</v>
      </c>
    </row>
    <row r="334" spans="1:49" x14ac:dyDescent="0.2">
      <c r="A334" s="1">
        <v>44393</v>
      </c>
      <c r="B334">
        <f t="shared" ref="B334:B338" si="46">B333</f>
        <v>4.33</v>
      </c>
      <c r="C334" s="1" t="s">
        <v>57</v>
      </c>
      <c r="D334" s="1" t="s">
        <v>62</v>
      </c>
      <c r="E334" s="1" t="s">
        <v>65</v>
      </c>
      <c r="F334" s="1" t="s">
        <v>48</v>
      </c>
      <c r="G334">
        <v>2519</v>
      </c>
      <c r="H334" s="4">
        <v>79.540000000000006</v>
      </c>
      <c r="I334" s="4">
        <v>110</v>
      </c>
      <c r="J334" s="4">
        <v>60</v>
      </c>
      <c r="K334" s="4">
        <v>131.43</v>
      </c>
      <c r="L334" s="4">
        <v>148</v>
      </c>
      <c r="M334" s="4">
        <v>70</v>
      </c>
      <c r="N334" s="4">
        <v>103</v>
      </c>
      <c r="O334" s="4">
        <v>58</v>
      </c>
      <c r="P334" s="4">
        <v>43.616545323955897</v>
      </c>
      <c r="Q334" s="4">
        <v>65.552233860063893</v>
      </c>
      <c r="R334" s="4">
        <v>66</v>
      </c>
      <c r="S334" s="7" t="s">
        <v>32</v>
      </c>
      <c r="T334" s="4">
        <v>426437</v>
      </c>
      <c r="U334" s="4">
        <v>646385</v>
      </c>
      <c r="V334" s="4">
        <v>3443</v>
      </c>
      <c r="W334" s="4">
        <v>122400</v>
      </c>
      <c r="X334" s="4">
        <v>202385</v>
      </c>
      <c r="Y334" s="4">
        <v>444000</v>
      </c>
      <c r="Z334" s="4">
        <v>120000</v>
      </c>
      <c r="AA334" s="4">
        <v>2400</v>
      </c>
      <c r="AB334" s="4">
        <v>75868</v>
      </c>
      <c r="AC334" s="4">
        <v>880078</v>
      </c>
      <c r="AD334" s="4">
        <v>1746</v>
      </c>
      <c r="AE334" s="4">
        <v>15814</v>
      </c>
      <c r="AF334" s="4">
        <v>973506</v>
      </c>
      <c r="AG334" s="6">
        <v>55262</v>
      </c>
      <c r="AH334" s="6">
        <v>54601</v>
      </c>
      <c r="AI334" s="6">
        <v>661</v>
      </c>
      <c r="AJ334" s="6">
        <v>97761</v>
      </c>
      <c r="AK334" s="6">
        <v>43.399999999999899</v>
      </c>
      <c r="AL334" s="4">
        <v>700</v>
      </c>
      <c r="AM334" s="4">
        <v>4155</v>
      </c>
      <c r="AN334" s="4">
        <v>573</v>
      </c>
      <c r="AO334" s="6">
        <v>271805</v>
      </c>
      <c r="AP334" s="6">
        <v>69491</v>
      </c>
      <c r="AQ334" s="6">
        <v>202314</v>
      </c>
      <c r="AS334" s="6">
        <v>80.400000000000006</v>
      </c>
      <c r="AT334" s="6">
        <v>62.2</v>
      </c>
      <c r="AV334" s="4">
        <v>52</v>
      </c>
      <c r="AW334" s="4">
        <v>55</v>
      </c>
    </row>
    <row r="335" spans="1:49" x14ac:dyDescent="0.2">
      <c r="A335" s="1">
        <v>44392</v>
      </c>
      <c r="B335">
        <f t="shared" si="46"/>
        <v>4.33</v>
      </c>
      <c r="C335" s="1" t="s">
        <v>57</v>
      </c>
      <c r="D335" s="1" t="s">
        <v>62</v>
      </c>
      <c r="E335" s="1" t="s">
        <v>65</v>
      </c>
      <c r="F335" s="1" t="s">
        <v>48</v>
      </c>
      <c r="G335">
        <v>2456</v>
      </c>
      <c r="H335" s="4">
        <v>66.14</v>
      </c>
      <c r="I335" s="4">
        <v>113</v>
      </c>
      <c r="J335" s="4">
        <v>58</v>
      </c>
      <c r="K335" s="4">
        <v>115.1</v>
      </c>
      <c r="L335" s="4">
        <v>132</v>
      </c>
      <c r="M335" s="4">
        <v>70</v>
      </c>
      <c r="N335" s="4">
        <v>100</v>
      </c>
      <c r="O335" s="4">
        <v>54</v>
      </c>
      <c r="P335" s="4">
        <v>42.924925894653697</v>
      </c>
      <c r="Q335" s="4">
        <v>63.866238858491698</v>
      </c>
      <c r="R335" s="4">
        <v>63</v>
      </c>
      <c r="S335" s="7" t="s">
        <v>32</v>
      </c>
      <c r="T335" s="4">
        <v>458737</v>
      </c>
      <c r="U335" s="4">
        <v>644403</v>
      </c>
      <c r="V335" s="4">
        <v>3356</v>
      </c>
      <c r="W335" s="4">
        <v>122400</v>
      </c>
      <c r="X335" s="4">
        <v>202403</v>
      </c>
      <c r="Y335" s="4">
        <v>442000</v>
      </c>
      <c r="Z335" s="4">
        <v>120000</v>
      </c>
      <c r="AA335" s="4">
        <v>2400</v>
      </c>
      <c r="AB335" s="4">
        <v>84135</v>
      </c>
      <c r="AC335" s="4">
        <v>1080202</v>
      </c>
      <c r="AD335" s="4">
        <v>1409</v>
      </c>
      <c r="AE335" s="4">
        <v>16512</v>
      </c>
      <c r="AF335" s="4">
        <v>1182258</v>
      </c>
      <c r="AG335" s="6">
        <v>61996</v>
      </c>
      <c r="AH335" s="6">
        <v>61194</v>
      </c>
      <c r="AI335" s="6">
        <v>802</v>
      </c>
      <c r="AJ335" s="6">
        <v>81757</v>
      </c>
      <c r="AK335" s="6">
        <v>37.299999999999898</v>
      </c>
      <c r="AL335" s="4">
        <v>775</v>
      </c>
      <c r="AM335" s="4">
        <v>4042</v>
      </c>
      <c r="AN335" s="4">
        <v>551</v>
      </c>
      <c r="AO335" s="6">
        <v>263574</v>
      </c>
      <c r="AP335" s="6">
        <v>61681</v>
      </c>
      <c r="AQ335" s="6">
        <v>201893</v>
      </c>
      <c r="AS335" s="6">
        <v>80.3</v>
      </c>
      <c r="AT335" s="6">
        <v>61.8</v>
      </c>
      <c r="AV335" s="4">
        <v>52</v>
      </c>
      <c r="AW335" s="4">
        <v>54</v>
      </c>
    </row>
    <row r="336" spans="1:49" x14ac:dyDescent="0.2">
      <c r="A336" s="1">
        <v>44391</v>
      </c>
      <c r="B336">
        <f t="shared" si="46"/>
        <v>4.33</v>
      </c>
      <c r="C336" s="1" t="s">
        <v>57</v>
      </c>
      <c r="D336" s="1" t="s">
        <v>62</v>
      </c>
      <c r="E336" s="1" t="s">
        <v>65</v>
      </c>
      <c r="F336" s="1" t="s">
        <v>48</v>
      </c>
      <c r="G336">
        <v>2411</v>
      </c>
      <c r="H336" s="4">
        <v>61.78</v>
      </c>
      <c r="I336" s="4">
        <v>113</v>
      </c>
      <c r="J336" s="4">
        <v>58</v>
      </c>
      <c r="K336" s="4">
        <v>114.49</v>
      </c>
      <c r="L336" s="4">
        <v>143</v>
      </c>
      <c r="M336" s="4">
        <v>70</v>
      </c>
      <c r="N336" s="4">
        <v>99</v>
      </c>
      <c r="O336" s="4">
        <v>55</v>
      </c>
      <c r="P336" s="4">
        <v>42.340354337760402</v>
      </c>
      <c r="Q336" s="4">
        <v>64.338083132167</v>
      </c>
      <c r="R336" s="4">
        <v>64</v>
      </c>
      <c r="S336" s="7" t="s">
        <v>32</v>
      </c>
      <c r="T336" s="4">
        <v>422251</v>
      </c>
      <c r="U336" s="4">
        <v>648460</v>
      </c>
      <c r="V336" s="4">
        <v>3178</v>
      </c>
      <c r="W336" s="4">
        <v>122400</v>
      </c>
      <c r="X336" s="4">
        <v>202403</v>
      </c>
      <c r="Y336" s="4">
        <v>442000</v>
      </c>
      <c r="Z336" s="4">
        <v>120000</v>
      </c>
      <c r="AA336" s="4">
        <v>6457</v>
      </c>
      <c r="AB336" s="4">
        <v>101559</v>
      </c>
      <c r="AC336" s="4">
        <v>1082929</v>
      </c>
      <c r="AD336" s="4">
        <v>1338</v>
      </c>
      <c r="AE336" s="4">
        <v>20966</v>
      </c>
      <c r="AF336" s="4">
        <v>1206792</v>
      </c>
      <c r="AG336" s="6">
        <v>54909</v>
      </c>
      <c r="AH336" s="6">
        <v>54190</v>
      </c>
      <c r="AI336" s="6">
        <v>719</v>
      </c>
      <c r="AJ336" s="6">
        <v>58965</v>
      </c>
      <c r="AK336" s="6">
        <v>27.6</v>
      </c>
      <c r="AL336" s="4">
        <v>755</v>
      </c>
      <c r="AM336" s="4">
        <v>3861</v>
      </c>
      <c r="AN336" s="4">
        <v>545</v>
      </c>
      <c r="AO336" s="6">
        <v>246035</v>
      </c>
      <c r="AP336" s="6">
        <v>60374</v>
      </c>
      <c r="AQ336" s="6">
        <v>185661</v>
      </c>
      <c r="AS336" s="6">
        <v>80.2</v>
      </c>
      <c r="AT336" s="6">
        <v>61.5</v>
      </c>
      <c r="AV336" s="4">
        <v>43</v>
      </c>
      <c r="AW336" s="4">
        <v>47</v>
      </c>
    </row>
    <row r="337" spans="1:49" x14ac:dyDescent="0.2">
      <c r="A337" s="1">
        <v>44390</v>
      </c>
      <c r="B337">
        <f t="shared" si="46"/>
        <v>4.33</v>
      </c>
      <c r="C337" s="1" t="s">
        <v>57</v>
      </c>
      <c r="D337" s="1" t="s">
        <v>62</v>
      </c>
      <c r="E337" s="1" t="s">
        <v>65</v>
      </c>
      <c r="F337" s="1" t="s">
        <v>48</v>
      </c>
      <c r="G337">
        <v>2369</v>
      </c>
      <c r="H337" s="4">
        <v>53.69</v>
      </c>
      <c r="I337" s="4">
        <v>113</v>
      </c>
      <c r="J337" s="4">
        <v>57</v>
      </c>
      <c r="K337" s="4">
        <v>108.77</v>
      </c>
      <c r="L337" s="4">
        <v>136</v>
      </c>
      <c r="M337" s="4">
        <v>69</v>
      </c>
      <c r="N337" s="4">
        <v>100</v>
      </c>
      <c r="O337" s="4">
        <v>54</v>
      </c>
      <c r="P337" s="4">
        <v>41.098567418380703</v>
      </c>
      <c r="Q337" s="4">
        <v>64.821374600375094</v>
      </c>
      <c r="R337" s="4">
        <v>65</v>
      </c>
      <c r="S337" s="7" t="s">
        <v>32</v>
      </c>
      <c r="T337" s="4">
        <v>407644</v>
      </c>
      <c r="U337" s="4">
        <v>608210</v>
      </c>
      <c r="V337" s="4">
        <v>3200</v>
      </c>
      <c r="W337" s="4">
        <v>122400</v>
      </c>
      <c r="X337" s="4">
        <v>202403</v>
      </c>
      <c r="Y337" s="4">
        <v>403000</v>
      </c>
      <c r="Z337" s="4">
        <v>120000</v>
      </c>
      <c r="AA337" s="4">
        <v>5207</v>
      </c>
      <c r="AB337" s="4">
        <v>108220</v>
      </c>
      <c r="AC337" s="4">
        <v>811105</v>
      </c>
      <c r="AD337" s="4">
        <v>1593</v>
      </c>
      <c r="AE337" s="4">
        <v>13191</v>
      </c>
      <c r="AF337" s="4">
        <v>934109</v>
      </c>
      <c r="AG337" s="6">
        <v>47704</v>
      </c>
      <c r="AH337" s="6">
        <v>47069</v>
      </c>
      <c r="AI337" s="6">
        <v>635</v>
      </c>
      <c r="AJ337" s="6">
        <v>52320</v>
      </c>
      <c r="AK337" s="6">
        <v>25.6</v>
      </c>
      <c r="AL337" s="4">
        <v>750</v>
      </c>
      <c r="AM337" s="4">
        <v>3677</v>
      </c>
      <c r="AN337" s="4">
        <v>522</v>
      </c>
      <c r="AO337" s="6">
        <v>217349</v>
      </c>
      <c r="AP337" s="6">
        <v>59073</v>
      </c>
      <c r="AQ337" s="6">
        <v>158276</v>
      </c>
      <c r="AS337" s="6">
        <v>80.099999999999994</v>
      </c>
      <c r="AT337" s="6">
        <v>61.1</v>
      </c>
      <c r="AV337" s="4">
        <v>50</v>
      </c>
      <c r="AW337" s="4">
        <v>50</v>
      </c>
    </row>
    <row r="338" spans="1:49" x14ac:dyDescent="0.2">
      <c r="A338" s="1">
        <v>44389</v>
      </c>
      <c r="B338">
        <f t="shared" si="46"/>
        <v>4.33</v>
      </c>
      <c r="C338" s="1" t="s">
        <v>57</v>
      </c>
      <c r="D338" s="1" t="s">
        <v>62</v>
      </c>
      <c r="E338" s="1" t="s">
        <v>65</v>
      </c>
      <c r="F338" s="1" t="s">
        <v>48</v>
      </c>
      <c r="G338">
        <v>2340</v>
      </c>
      <c r="H338" s="4">
        <v>44.36</v>
      </c>
      <c r="I338" s="4">
        <v>114</v>
      </c>
      <c r="J338" s="4">
        <v>55</v>
      </c>
      <c r="K338" s="4">
        <v>96.2</v>
      </c>
      <c r="L338" s="4">
        <v>114</v>
      </c>
      <c r="M338" s="4">
        <v>66</v>
      </c>
      <c r="N338" s="4">
        <v>92</v>
      </c>
      <c r="O338" s="4">
        <v>53</v>
      </c>
      <c r="P338" s="4">
        <v>39.091768084796897</v>
      </c>
      <c r="Q338" s="4">
        <v>61.966806311493599</v>
      </c>
      <c r="R338" s="4">
        <v>63</v>
      </c>
      <c r="S338" s="7" t="s">
        <v>32</v>
      </c>
      <c r="T338" s="4">
        <v>333425</v>
      </c>
      <c r="U338" s="4">
        <v>578715</v>
      </c>
      <c r="V338" s="4">
        <v>1798</v>
      </c>
      <c r="W338" s="4">
        <v>122400</v>
      </c>
      <c r="X338" s="4">
        <v>202403</v>
      </c>
      <c r="Y338" s="4">
        <v>372000</v>
      </c>
      <c r="Z338" s="4">
        <v>120000</v>
      </c>
      <c r="AA338" s="4">
        <v>6712</v>
      </c>
      <c r="AB338" s="4">
        <v>92019</v>
      </c>
      <c r="AC338" s="4">
        <v>975653</v>
      </c>
      <c r="AD338" s="4">
        <v>734</v>
      </c>
      <c r="AE338" s="4">
        <v>20324</v>
      </c>
      <c r="AF338" s="4">
        <v>1088730</v>
      </c>
      <c r="AG338" s="6">
        <v>44505</v>
      </c>
      <c r="AH338" s="6">
        <v>43947</v>
      </c>
      <c r="AI338" s="6">
        <v>558</v>
      </c>
      <c r="AJ338" s="6">
        <v>48497</v>
      </c>
      <c r="AK338" s="6">
        <v>24.6999999999999</v>
      </c>
      <c r="AL338" s="4">
        <v>732</v>
      </c>
      <c r="AM338" s="4">
        <v>3462</v>
      </c>
      <c r="AN338" s="4">
        <v>482</v>
      </c>
      <c r="AO338" s="6">
        <v>179656</v>
      </c>
      <c r="AP338" s="6">
        <v>54296</v>
      </c>
      <c r="AQ338" s="6">
        <v>125360</v>
      </c>
      <c r="AS338" s="6">
        <v>80</v>
      </c>
      <c r="AT338" s="6">
        <v>60.9</v>
      </c>
      <c r="AV338" s="4">
        <v>41</v>
      </c>
      <c r="AW338" s="4">
        <v>43</v>
      </c>
    </row>
    <row r="339" spans="1:49" x14ac:dyDescent="0.2">
      <c r="A339" s="1">
        <v>44388</v>
      </c>
      <c r="B339">
        <v>5.38</v>
      </c>
      <c r="C339" s="1" t="s">
        <v>57</v>
      </c>
      <c r="D339" s="1" t="s">
        <v>62</v>
      </c>
      <c r="E339" s="1" t="s">
        <v>65</v>
      </c>
      <c r="F339" s="1" t="s">
        <v>48</v>
      </c>
      <c r="G339">
        <v>2343</v>
      </c>
      <c r="H339" s="4">
        <v>87.88</v>
      </c>
      <c r="I339" s="4">
        <v>100</v>
      </c>
      <c r="J339" s="4">
        <v>94</v>
      </c>
      <c r="K339" s="4">
        <v>139.22999999999999</v>
      </c>
      <c r="L339" s="4">
        <v>131</v>
      </c>
      <c r="M339" s="4">
        <v>75</v>
      </c>
      <c r="N339" s="4">
        <v>96</v>
      </c>
      <c r="O339" s="4">
        <v>73</v>
      </c>
      <c r="P339" s="4">
        <v>77.731163598804301</v>
      </c>
      <c r="Q339" s="4">
        <v>82.403054888540495</v>
      </c>
      <c r="R339" s="4">
        <v>86</v>
      </c>
      <c r="S339" s="7" t="s">
        <v>32</v>
      </c>
      <c r="T339" s="4">
        <v>363071</v>
      </c>
      <c r="U339" s="4">
        <v>625047</v>
      </c>
      <c r="V339" s="4">
        <v>162</v>
      </c>
      <c r="W339" s="4">
        <v>122400</v>
      </c>
      <c r="X339" s="4">
        <v>202403</v>
      </c>
      <c r="Y339" s="4">
        <v>418000</v>
      </c>
      <c r="Z339" s="4">
        <v>120000</v>
      </c>
      <c r="AA339" s="4">
        <v>7044</v>
      </c>
      <c r="AB339" s="4">
        <v>67311</v>
      </c>
      <c r="AC339" s="4">
        <v>1029667</v>
      </c>
      <c r="AD339" s="4">
        <v>162</v>
      </c>
      <c r="AE339" s="4">
        <v>24682</v>
      </c>
      <c r="AF339" s="4">
        <v>1121822</v>
      </c>
      <c r="AG339" s="6">
        <v>30502</v>
      </c>
      <c r="AH339" s="6">
        <v>30183</v>
      </c>
      <c r="AI339" s="6">
        <v>319</v>
      </c>
      <c r="AJ339" s="6">
        <v>45368</v>
      </c>
      <c r="AK339" s="6">
        <v>23.899999999999899</v>
      </c>
      <c r="AL339" s="4">
        <v>594</v>
      </c>
      <c r="AM339" s="4">
        <v>3186</v>
      </c>
      <c r="AN339" s="4">
        <v>454</v>
      </c>
      <c r="AO339" s="6">
        <v>149620</v>
      </c>
      <c r="AP339" s="6">
        <v>42000</v>
      </c>
      <c r="AQ339" s="6">
        <v>107620</v>
      </c>
      <c r="AS339" s="6">
        <v>79.900000000000006</v>
      </c>
      <c r="AT339" s="6">
        <v>60.6</v>
      </c>
      <c r="AV339" s="4">
        <v>35</v>
      </c>
      <c r="AW339" s="4">
        <v>36</v>
      </c>
    </row>
    <row r="340" spans="1:49" x14ac:dyDescent="0.2">
      <c r="A340" s="1">
        <v>44387</v>
      </c>
      <c r="B340">
        <f>B339</f>
        <v>5.38</v>
      </c>
      <c r="C340" s="1" t="s">
        <v>57</v>
      </c>
      <c r="D340" s="1" t="s">
        <v>62</v>
      </c>
      <c r="E340" s="1" t="s">
        <v>65</v>
      </c>
      <c r="F340" s="1" t="s">
        <v>48</v>
      </c>
      <c r="G340">
        <v>2343</v>
      </c>
      <c r="H340" s="4">
        <v>95.53</v>
      </c>
      <c r="I340" s="4">
        <v>103</v>
      </c>
      <c r="J340" s="4">
        <v>89</v>
      </c>
      <c r="K340" s="4">
        <v>148.28</v>
      </c>
      <c r="L340" s="4">
        <v>101</v>
      </c>
      <c r="M340" s="4">
        <v>67</v>
      </c>
      <c r="N340" s="4">
        <v>95</v>
      </c>
      <c r="O340" s="4">
        <v>65</v>
      </c>
      <c r="P340" s="4">
        <v>54.621707156030098</v>
      </c>
      <c r="Q340" s="4">
        <v>69.302338074817698</v>
      </c>
      <c r="R340" s="4">
        <v>69</v>
      </c>
      <c r="S340" s="7" t="s">
        <v>32</v>
      </c>
      <c r="T340" s="4">
        <v>377192</v>
      </c>
      <c r="U340" s="4">
        <v>625818</v>
      </c>
      <c r="V340" s="4">
        <v>651</v>
      </c>
      <c r="W340" s="4">
        <v>122400</v>
      </c>
      <c r="X340" s="4">
        <v>202403</v>
      </c>
      <c r="Y340" s="4">
        <v>418000</v>
      </c>
      <c r="Z340" s="4">
        <v>120000</v>
      </c>
      <c r="AA340" s="4">
        <v>7815</v>
      </c>
      <c r="AB340" s="4">
        <v>68640</v>
      </c>
      <c r="AC340" s="4">
        <v>652032</v>
      </c>
      <c r="AD340" s="4">
        <v>651</v>
      </c>
      <c r="AE340" s="4">
        <v>19123</v>
      </c>
      <c r="AF340" s="4">
        <v>740446</v>
      </c>
      <c r="AG340" s="6">
        <v>28373</v>
      </c>
      <c r="AH340" s="6">
        <v>28055</v>
      </c>
      <c r="AI340" s="6">
        <v>318</v>
      </c>
      <c r="AJ340" s="6">
        <v>46674</v>
      </c>
      <c r="AK340" s="6">
        <v>25.5</v>
      </c>
      <c r="AL340" s="4">
        <v>552</v>
      </c>
      <c r="AM340" s="4">
        <v>3040</v>
      </c>
      <c r="AN340" s="4">
        <v>448</v>
      </c>
      <c r="AO340" s="6">
        <v>305209</v>
      </c>
      <c r="AP340" s="6">
        <v>93763</v>
      </c>
      <c r="AQ340" s="6">
        <v>211446</v>
      </c>
      <c r="AS340" s="6">
        <v>79.8</v>
      </c>
      <c r="AT340" s="6">
        <v>60.5</v>
      </c>
      <c r="AV340" s="4">
        <v>42</v>
      </c>
      <c r="AW340" s="4">
        <v>45</v>
      </c>
    </row>
    <row r="341" spans="1:49" x14ac:dyDescent="0.2">
      <c r="A341" s="1">
        <v>44386</v>
      </c>
      <c r="B341">
        <f t="shared" ref="B341:B345" si="47">B340</f>
        <v>5.38</v>
      </c>
      <c r="C341" s="1" t="s">
        <v>57</v>
      </c>
      <c r="D341" s="1" t="s">
        <v>62</v>
      </c>
      <c r="E341" s="1" t="s">
        <v>65</v>
      </c>
      <c r="F341" s="1" t="s">
        <v>48</v>
      </c>
      <c r="G341">
        <v>2328</v>
      </c>
      <c r="H341" s="4">
        <v>80.33</v>
      </c>
      <c r="I341" s="4">
        <v>111</v>
      </c>
      <c r="J341" s="4">
        <v>61</v>
      </c>
      <c r="K341" s="4">
        <v>128.76</v>
      </c>
      <c r="L341" s="4">
        <v>130</v>
      </c>
      <c r="M341" s="4">
        <v>68</v>
      </c>
      <c r="N341" s="4">
        <v>101</v>
      </c>
      <c r="O341" s="4">
        <v>57</v>
      </c>
      <c r="P341" s="4">
        <v>44.5067562232963</v>
      </c>
      <c r="Q341" s="4">
        <v>65.275108072394403</v>
      </c>
      <c r="R341" s="4">
        <v>65</v>
      </c>
      <c r="S341" s="7" t="s">
        <v>32</v>
      </c>
      <c r="T341" s="4">
        <v>397434</v>
      </c>
      <c r="U341" s="4">
        <v>639188</v>
      </c>
      <c r="V341" s="4">
        <v>3017</v>
      </c>
      <c r="W341" s="4">
        <v>122400</v>
      </c>
      <c r="X341" s="4">
        <v>202403</v>
      </c>
      <c r="Y341" s="4">
        <v>430000</v>
      </c>
      <c r="Z341" s="4">
        <v>120000</v>
      </c>
      <c r="AA341" s="4">
        <v>9185</v>
      </c>
      <c r="AB341" s="4">
        <v>85187</v>
      </c>
      <c r="AC341" s="4">
        <v>809438</v>
      </c>
      <c r="AD341" s="4">
        <v>1699</v>
      </c>
      <c r="AE341" s="4">
        <v>9100</v>
      </c>
      <c r="AF341" s="4">
        <v>905424</v>
      </c>
      <c r="AG341" s="6">
        <v>32799</v>
      </c>
      <c r="AH341" s="6">
        <v>32394</v>
      </c>
      <c r="AI341" s="6">
        <v>405</v>
      </c>
      <c r="AJ341" s="6">
        <v>50015</v>
      </c>
      <c r="AK341" s="6">
        <v>28.5</v>
      </c>
      <c r="AL341" s="4">
        <v>559</v>
      </c>
      <c r="AM341" s="4">
        <v>2943</v>
      </c>
      <c r="AN341" s="4">
        <v>437</v>
      </c>
      <c r="AO341" s="6">
        <v>268902</v>
      </c>
      <c r="AP341" s="6">
        <v>90083</v>
      </c>
      <c r="AQ341" s="6">
        <v>178819</v>
      </c>
      <c r="AS341" s="6">
        <v>79.599999999999994</v>
      </c>
      <c r="AT341" s="6">
        <v>60.1</v>
      </c>
      <c r="AV341" s="4">
        <v>48</v>
      </c>
      <c r="AW341" s="4">
        <v>52</v>
      </c>
    </row>
    <row r="342" spans="1:49" x14ac:dyDescent="0.2">
      <c r="A342" s="1">
        <v>44385</v>
      </c>
      <c r="B342">
        <f t="shared" si="47"/>
        <v>5.38</v>
      </c>
      <c r="C342" s="1" t="s">
        <v>57</v>
      </c>
      <c r="D342" s="1" t="s">
        <v>62</v>
      </c>
      <c r="E342" s="1" t="s">
        <v>65</v>
      </c>
      <c r="F342" s="1" t="s">
        <v>48</v>
      </c>
      <c r="G342">
        <v>2307</v>
      </c>
      <c r="H342" s="4">
        <v>66.349999999999994</v>
      </c>
      <c r="I342" s="4">
        <v>113</v>
      </c>
      <c r="J342" s="4">
        <v>59</v>
      </c>
      <c r="K342" s="4">
        <v>112.12</v>
      </c>
      <c r="L342" s="4">
        <v>132</v>
      </c>
      <c r="M342" s="4">
        <v>69</v>
      </c>
      <c r="N342" s="4">
        <v>99</v>
      </c>
      <c r="O342" s="4">
        <v>54</v>
      </c>
      <c r="P342" s="4">
        <v>43.838569457306598</v>
      </c>
      <c r="Q342" s="4">
        <v>64.083680241221202</v>
      </c>
      <c r="R342" s="4">
        <v>63</v>
      </c>
      <c r="S342" s="7" t="s">
        <v>32</v>
      </c>
      <c r="T342" s="4">
        <v>415209</v>
      </c>
      <c r="U342" s="4">
        <v>614384</v>
      </c>
      <c r="V342" s="4">
        <v>3694</v>
      </c>
      <c r="W342" s="4">
        <v>122400</v>
      </c>
      <c r="X342" s="4">
        <v>202389</v>
      </c>
      <c r="Y342" s="4">
        <v>404000</v>
      </c>
      <c r="Z342" s="4">
        <v>120000</v>
      </c>
      <c r="AA342" s="4">
        <v>10395</v>
      </c>
      <c r="AB342" s="4">
        <v>92397</v>
      </c>
      <c r="AC342" s="4">
        <v>993224</v>
      </c>
      <c r="AD342" s="4">
        <v>1796</v>
      </c>
      <c r="AE342" s="4">
        <v>27614</v>
      </c>
      <c r="AF342" s="4">
        <v>1115031</v>
      </c>
      <c r="AG342" s="6">
        <v>33999</v>
      </c>
      <c r="AH342" s="6">
        <v>33575</v>
      </c>
      <c r="AI342" s="6">
        <v>424</v>
      </c>
      <c r="AJ342" s="6">
        <v>51727</v>
      </c>
      <c r="AK342" s="6">
        <v>30.899999999999899</v>
      </c>
      <c r="AL342" s="4">
        <v>608</v>
      </c>
      <c r="AM342" s="4">
        <v>2772</v>
      </c>
      <c r="AN342" s="4">
        <v>417</v>
      </c>
      <c r="AO342" s="6">
        <v>271897</v>
      </c>
      <c r="AP342" s="6">
        <v>96430</v>
      </c>
      <c r="AQ342" s="6">
        <v>175467</v>
      </c>
      <c r="AS342" s="6">
        <v>79.5</v>
      </c>
      <c r="AT342" s="6">
        <v>59.8</v>
      </c>
      <c r="AV342" s="4">
        <v>42</v>
      </c>
      <c r="AW342" s="4">
        <v>42</v>
      </c>
    </row>
    <row r="343" spans="1:49" x14ac:dyDescent="0.2">
      <c r="A343" s="1">
        <v>44384</v>
      </c>
      <c r="B343">
        <f t="shared" si="47"/>
        <v>5.38</v>
      </c>
      <c r="C343" s="1" t="s">
        <v>57</v>
      </c>
      <c r="D343" s="1" t="s">
        <v>62</v>
      </c>
      <c r="E343" s="1" t="s">
        <v>65</v>
      </c>
      <c r="F343" s="1" t="s">
        <v>48</v>
      </c>
      <c r="G343">
        <v>2285</v>
      </c>
      <c r="H343" s="4">
        <v>55.67</v>
      </c>
      <c r="I343" s="4">
        <v>112</v>
      </c>
      <c r="J343" s="4">
        <v>59</v>
      </c>
      <c r="K343" s="4">
        <v>117.7</v>
      </c>
      <c r="L343" s="4">
        <v>125</v>
      </c>
      <c r="M343" s="4">
        <v>71</v>
      </c>
      <c r="N343" s="4">
        <v>100</v>
      </c>
      <c r="O343" s="4">
        <v>56</v>
      </c>
      <c r="P343" s="4">
        <v>46.539518788984601</v>
      </c>
      <c r="Q343" s="4">
        <v>65.312318753138399</v>
      </c>
      <c r="R343" s="4">
        <v>68</v>
      </c>
      <c r="S343" s="7" t="s">
        <v>32</v>
      </c>
      <c r="T343" s="4">
        <v>430435</v>
      </c>
      <c r="U343" s="4">
        <v>633640</v>
      </c>
      <c r="V343" s="4">
        <v>2530</v>
      </c>
      <c r="W343" s="4">
        <v>122400</v>
      </c>
      <c r="X343" s="4">
        <v>202389</v>
      </c>
      <c r="Y343" s="4">
        <v>422000</v>
      </c>
      <c r="Z343" s="4">
        <v>120000</v>
      </c>
      <c r="AA343" s="4">
        <v>11651</v>
      </c>
      <c r="AB343" s="4">
        <v>104560</v>
      </c>
      <c r="AC343" s="4">
        <v>1104496</v>
      </c>
      <c r="AD343" s="4">
        <v>1697</v>
      </c>
      <c r="AE343" s="4">
        <v>23430</v>
      </c>
      <c r="AF343" s="4">
        <v>1234183</v>
      </c>
      <c r="AG343" s="6">
        <v>38593</v>
      </c>
      <c r="AH343" s="6">
        <v>38085</v>
      </c>
      <c r="AI343" s="6">
        <v>508</v>
      </c>
      <c r="AJ343" s="6">
        <v>56604</v>
      </c>
      <c r="AK343" s="6">
        <v>36</v>
      </c>
      <c r="AL343" s="4">
        <v>571</v>
      </c>
      <c r="AM343" s="4">
        <v>2685</v>
      </c>
      <c r="AN343" s="4">
        <v>417</v>
      </c>
      <c r="AO343" s="6">
        <v>258430</v>
      </c>
      <c r="AP343" s="6">
        <v>86953</v>
      </c>
      <c r="AQ343" s="6">
        <v>171477</v>
      </c>
      <c r="AS343" s="6">
        <v>79.3</v>
      </c>
      <c r="AT343" s="6">
        <v>59.5</v>
      </c>
      <c r="AV343" s="4">
        <v>29</v>
      </c>
      <c r="AW343" s="4">
        <v>36</v>
      </c>
    </row>
    <row r="344" spans="1:49" x14ac:dyDescent="0.2">
      <c r="A344" s="1">
        <v>44383</v>
      </c>
      <c r="B344">
        <f t="shared" si="47"/>
        <v>5.38</v>
      </c>
      <c r="C344" s="1" t="s">
        <v>57</v>
      </c>
      <c r="D344" s="1" t="s">
        <v>62</v>
      </c>
      <c r="E344" s="1" t="s">
        <v>65</v>
      </c>
      <c r="F344" s="1" t="s">
        <v>48</v>
      </c>
      <c r="G344">
        <v>2247</v>
      </c>
      <c r="H344" s="4">
        <v>54.19</v>
      </c>
      <c r="I344" s="4">
        <v>114</v>
      </c>
      <c r="J344" s="4">
        <v>58</v>
      </c>
      <c r="K344" s="4">
        <v>102.88</v>
      </c>
      <c r="L344" s="4">
        <v>98</v>
      </c>
      <c r="M344" s="4">
        <v>67</v>
      </c>
      <c r="N344" s="4">
        <v>94</v>
      </c>
      <c r="O344" s="4">
        <v>54</v>
      </c>
      <c r="P344" s="4">
        <v>44.576573606480899</v>
      </c>
      <c r="Q344" s="4">
        <v>63.133802081507497</v>
      </c>
      <c r="R344" s="4">
        <v>64</v>
      </c>
      <c r="S344" s="7" t="s">
        <v>32</v>
      </c>
      <c r="T344" s="4">
        <v>402203</v>
      </c>
      <c r="U344" s="4">
        <v>629659</v>
      </c>
      <c r="V344" s="4">
        <v>2688</v>
      </c>
      <c r="W344" s="4">
        <v>122400</v>
      </c>
      <c r="X344" s="4">
        <v>202389</v>
      </c>
      <c r="Y344" s="4">
        <v>422000</v>
      </c>
      <c r="Z344" s="4">
        <v>120000</v>
      </c>
      <c r="AA344" s="4">
        <v>7670</v>
      </c>
      <c r="AB344" s="4">
        <v>107822</v>
      </c>
      <c r="AC344" s="4">
        <v>843541</v>
      </c>
      <c r="AD344" s="4">
        <v>1296</v>
      </c>
      <c r="AE344" s="4">
        <v>16464</v>
      </c>
      <c r="AF344" s="4">
        <v>969123</v>
      </c>
      <c r="AG344" s="6">
        <v>36040</v>
      </c>
      <c r="AH344" s="6">
        <v>35576</v>
      </c>
      <c r="AI344" s="6">
        <v>464</v>
      </c>
      <c r="AJ344" s="6">
        <v>57505</v>
      </c>
      <c r="AK344" s="6">
        <v>39.200000000000003</v>
      </c>
      <c r="AL344" s="4">
        <v>577</v>
      </c>
      <c r="AM344" s="4">
        <v>2490</v>
      </c>
      <c r="AN344" s="4">
        <v>392</v>
      </c>
      <c r="AO344" s="6">
        <v>238937</v>
      </c>
      <c r="AP344" s="6">
        <v>85811</v>
      </c>
      <c r="AQ344" s="6">
        <v>153126</v>
      </c>
      <c r="AS344" s="6">
        <v>79.099999999999994</v>
      </c>
      <c r="AT344" s="6">
        <v>59.2</v>
      </c>
      <c r="AV344" s="4">
        <v>32</v>
      </c>
      <c r="AW344" s="4">
        <v>35</v>
      </c>
    </row>
    <row r="345" spans="1:49" x14ac:dyDescent="0.2">
      <c r="A345" s="1">
        <v>44382</v>
      </c>
      <c r="B345">
        <f t="shared" si="47"/>
        <v>5.38</v>
      </c>
      <c r="C345" s="1" t="s">
        <v>57</v>
      </c>
      <c r="D345" s="1" t="s">
        <v>62</v>
      </c>
      <c r="E345" s="1" t="s">
        <v>65</v>
      </c>
      <c r="F345" s="1" t="s">
        <v>48</v>
      </c>
      <c r="G345">
        <v>2217</v>
      </c>
      <c r="H345" s="4">
        <v>50.43</v>
      </c>
      <c r="I345" s="4">
        <v>112</v>
      </c>
      <c r="J345" s="4">
        <v>59</v>
      </c>
      <c r="K345" s="4">
        <v>101.63</v>
      </c>
      <c r="L345" s="4">
        <v>136</v>
      </c>
      <c r="M345" s="4">
        <v>72</v>
      </c>
      <c r="N345" s="4">
        <v>99</v>
      </c>
      <c r="O345" s="4">
        <v>54</v>
      </c>
      <c r="P345" s="4">
        <v>42.108824695411599</v>
      </c>
      <c r="Q345" s="4">
        <v>64.588190757281396</v>
      </c>
      <c r="R345" s="4">
        <v>61</v>
      </c>
      <c r="S345" s="7" t="s">
        <v>32</v>
      </c>
      <c r="T345" s="4">
        <v>339659</v>
      </c>
      <c r="U345" s="4">
        <v>607512</v>
      </c>
      <c r="V345" s="4">
        <v>1854</v>
      </c>
      <c r="W345" s="4">
        <v>122400</v>
      </c>
      <c r="X345" s="4">
        <v>200483</v>
      </c>
      <c r="Y345" s="4">
        <v>400000</v>
      </c>
      <c r="Z345" s="4">
        <v>120000</v>
      </c>
      <c r="AA345" s="4">
        <v>9429</v>
      </c>
      <c r="AB345" s="4">
        <v>98007</v>
      </c>
      <c r="AC345" s="4">
        <v>1061812</v>
      </c>
      <c r="AD345" s="4">
        <v>886</v>
      </c>
      <c r="AE345" s="4">
        <v>17085</v>
      </c>
      <c r="AF345" s="4">
        <v>1177790</v>
      </c>
      <c r="AG345" s="6">
        <v>34897</v>
      </c>
      <c r="AH345" s="6">
        <v>34394</v>
      </c>
      <c r="AI345" s="6">
        <v>503</v>
      </c>
      <c r="AJ345" s="6">
        <v>60460</v>
      </c>
      <c r="AK345" s="6">
        <v>44.5</v>
      </c>
      <c r="AL345" s="4">
        <v>521</v>
      </c>
      <c r="AM345" s="4">
        <v>2368</v>
      </c>
      <c r="AN345" s="4">
        <v>369</v>
      </c>
      <c r="AO345" s="6">
        <v>224776</v>
      </c>
      <c r="AP345" s="6">
        <v>76962</v>
      </c>
      <c r="AQ345" s="6">
        <v>147814</v>
      </c>
      <c r="AS345" s="6">
        <v>79</v>
      </c>
      <c r="AT345" s="6">
        <v>58.9</v>
      </c>
      <c r="AV345" s="4">
        <v>29</v>
      </c>
      <c r="AW345" s="4">
        <v>29</v>
      </c>
    </row>
    <row r="346" spans="1:49" x14ac:dyDescent="0.2">
      <c r="A346" s="1">
        <v>44381</v>
      </c>
      <c r="B346">
        <v>-4.8099999999999996</v>
      </c>
      <c r="C346" s="1" t="s">
        <v>57</v>
      </c>
      <c r="D346" s="1" t="s">
        <v>62</v>
      </c>
      <c r="E346" s="1" t="s">
        <v>65</v>
      </c>
      <c r="F346" s="1" t="s">
        <v>48</v>
      </c>
      <c r="G346">
        <v>2203</v>
      </c>
      <c r="H346" s="4">
        <v>83.57</v>
      </c>
      <c r="I346" s="4">
        <v>103</v>
      </c>
      <c r="J346" s="4">
        <v>91</v>
      </c>
      <c r="K346" s="4">
        <v>99.91</v>
      </c>
      <c r="L346" s="4">
        <v>112</v>
      </c>
      <c r="M346" s="4">
        <v>70</v>
      </c>
      <c r="N346" s="4">
        <v>90</v>
      </c>
      <c r="O346" s="4">
        <v>63</v>
      </c>
      <c r="P346" s="4">
        <v>56.1393226761883</v>
      </c>
      <c r="Q346" s="4">
        <v>74.582375189113506</v>
      </c>
      <c r="R346" s="4">
        <v>68</v>
      </c>
      <c r="S346" s="7" t="s">
        <v>32</v>
      </c>
      <c r="T346" s="4">
        <v>361003</v>
      </c>
      <c r="U346" s="4">
        <v>608659</v>
      </c>
      <c r="V346" s="4">
        <v>23</v>
      </c>
      <c r="W346" s="4">
        <v>122400</v>
      </c>
      <c r="X346" s="4">
        <v>200483</v>
      </c>
      <c r="Y346" s="4">
        <v>400000</v>
      </c>
      <c r="Z346" s="4">
        <v>120000</v>
      </c>
      <c r="AA346" s="4">
        <v>10576</v>
      </c>
      <c r="AB346" s="4">
        <v>77130</v>
      </c>
      <c r="AC346" s="4">
        <v>1179895</v>
      </c>
      <c r="AD346" s="4">
        <v>23</v>
      </c>
      <c r="AE346" s="4">
        <v>20440</v>
      </c>
      <c r="AF346" s="4">
        <v>1277488</v>
      </c>
      <c r="AG346" s="6">
        <v>25155</v>
      </c>
      <c r="AH346" s="6">
        <v>24834</v>
      </c>
      <c r="AI346" s="6">
        <v>321</v>
      </c>
      <c r="AJ346" s="6">
        <v>66092</v>
      </c>
      <c r="AK346" s="6">
        <v>53.399999999999899</v>
      </c>
      <c r="AL346" s="4">
        <v>470</v>
      </c>
      <c r="AM346" s="4">
        <v>2181</v>
      </c>
      <c r="AN346" s="4">
        <v>336</v>
      </c>
      <c r="AO346" s="6">
        <v>188632</v>
      </c>
      <c r="AP346" s="6">
        <v>77222</v>
      </c>
      <c r="AQ346" s="6">
        <v>111410</v>
      </c>
      <c r="AS346" s="6">
        <v>78.900000000000006</v>
      </c>
      <c r="AT346" s="6">
        <v>58.6</v>
      </c>
      <c r="AV346" s="4">
        <v>29</v>
      </c>
      <c r="AW346" s="4">
        <v>29</v>
      </c>
    </row>
    <row r="347" spans="1:49" x14ac:dyDescent="0.2">
      <c r="A347" s="1">
        <v>44380</v>
      </c>
      <c r="B347">
        <f>B346</f>
        <v>-4.8099999999999996</v>
      </c>
      <c r="C347" s="1" t="s">
        <v>57</v>
      </c>
      <c r="D347" s="1" t="s">
        <v>62</v>
      </c>
      <c r="E347" s="1" t="s">
        <v>65</v>
      </c>
      <c r="F347" s="1" t="s">
        <v>48</v>
      </c>
      <c r="G347">
        <v>2184</v>
      </c>
      <c r="H347" s="4">
        <v>92.42</v>
      </c>
      <c r="I347" s="4">
        <v>103</v>
      </c>
      <c r="J347" s="4">
        <v>90</v>
      </c>
      <c r="K347" s="4">
        <v>146.24</v>
      </c>
      <c r="L347" s="4">
        <v>99</v>
      </c>
      <c r="M347" s="4">
        <v>65</v>
      </c>
      <c r="N347" s="4">
        <v>94</v>
      </c>
      <c r="O347" s="4">
        <v>65</v>
      </c>
      <c r="P347" s="4">
        <v>53.577258998038097</v>
      </c>
      <c r="Q347" s="4">
        <v>69.888898044246503</v>
      </c>
      <c r="R347" s="4">
        <v>73</v>
      </c>
      <c r="S347" s="7" t="s">
        <v>32</v>
      </c>
      <c r="T347" s="4">
        <v>337826</v>
      </c>
      <c r="U347" s="4">
        <v>608044</v>
      </c>
      <c r="V347" s="4">
        <v>231</v>
      </c>
      <c r="W347" s="4">
        <v>122400</v>
      </c>
      <c r="X347" s="4">
        <v>200483</v>
      </c>
      <c r="Y347" s="4">
        <v>400000</v>
      </c>
      <c r="Z347" s="4">
        <v>120000</v>
      </c>
      <c r="AA347" s="4">
        <v>9961</v>
      </c>
      <c r="AB347" s="4">
        <v>72667</v>
      </c>
      <c r="AC347" s="4">
        <v>562258</v>
      </c>
      <c r="AD347" s="4">
        <v>231</v>
      </c>
      <c r="AE347" s="4">
        <v>20003</v>
      </c>
      <c r="AF347" s="4">
        <v>655159</v>
      </c>
      <c r="AG347" s="6">
        <v>24007</v>
      </c>
      <c r="AH347" s="6">
        <v>23708</v>
      </c>
      <c r="AI347" s="6">
        <v>299</v>
      </c>
      <c r="AJ347" s="6">
        <v>67854</v>
      </c>
      <c r="AK347" s="6">
        <v>58.799999999999898</v>
      </c>
      <c r="AL347" s="4">
        <v>396</v>
      </c>
      <c r="AM347" s="4">
        <v>2061</v>
      </c>
      <c r="AN347" s="4">
        <v>327</v>
      </c>
      <c r="AO347" s="6">
        <v>333598</v>
      </c>
      <c r="AP347" s="6">
        <v>137389</v>
      </c>
      <c r="AQ347" s="6">
        <v>196209</v>
      </c>
      <c r="AS347" s="6">
        <v>78.7</v>
      </c>
      <c r="AT347" s="6">
        <v>58.5</v>
      </c>
      <c r="AV347" s="4">
        <v>29</v>
      </c>
      <c r="AW347" s="4">
        <v>31</v>
      </c>
    </row>
    <row r="348" spans="1:49" x14ac:dyDescent="0.2">
      <c r="A348" s="1">
        <v>44379</v>
      </c>
      <c r="B348">
        <f t="shared" ref="B348:B352" si="48">B347</f>
        <v>-4.8099999999999996</v>
      </c>
      <c r="C348" s="1" t="s">
        <v>57</v>
      </c>
      <c r="D348" s="1" t="s">
        <v>62</v>
      </c>
      <c r="E348" s="1" t="s">
        <v>65</v>
      </c>
      <c r="F348" s="1" t="s">
        <v>48</v>
      </c>
      <c r="G348">
        <v>2155</v>
      </c>
      <c r="H348" s="4">
        <v>81.16</v>
      </c>
      <c r="I348" s="4">
        <v>111</v>
      </c>
      <c r="J348" s="4">
        <v>62</v>
      </c>
      <c r="K348" s="4">
        <v>128.13999999999999</v>
      </c>
      <c r="L348" s="4">
        <v>137</v>
      </c>
      <c r="M348" s="4">
        <v>68</v>
      </c>
      <c r="N348" s="4">
        <v>101</v>
      </c>
      <c r="O348" s="4">
        <v>58</v>
      </c>
      <c r="P348" s="4">
        <v>44.875894963314799</v>
      </c>
      <c r="Q348" s="4">
        <v>65.762940009034196</v>
      </c>
      <c r="R348" s="4">
        <v>66</v>
      </c>
      <c r="S348" s="7" t="s">
        <v>32</v>
      </c>
      <c r="T348" s="4">
        <v>395334</v>
      </c>
      <c r="U348" s="4">
        <v>601370</v>
      </c>
      <c r="V348" s="4">
        <v>2341</v>
      </c>
      <c r="W348" s="4">
        <v>122400</v>
      </c>
      <c r="X348" s="4">
        <v>200483</v>
      </c>
      <c r="Y348" s="4">
        <v>394000</v>
      </c>
      <c r="Z348" s="4">
        <v>120000</v>
      </c>
      <c r="AA348" s="4">
        <v>9287</v>
      </c>
      <c r="AB348" s="4">
        <v>87278</v>
      </c>
      <c r="AC348" s="4">
        <v>766373</v>
      </c>
      <c r="AD348" s="4">
        <v>1472</v>
      </c>
      <c r="AE348" s="4">
        <v>21128</v>
      </c>
      <c r="AF348" s="4">
        <v>876251</v>
      </c>
      <c r="AG348" s="6">
        <v>26340</v>
      </c>
      <c r="AH348" s="6">
        <v>25980</v>
      </c>
      <c r="AI348" s="6">
        <v>360</v>
      </c>
      <c r="AJ348" s="6">
        <v>68002</v>
      </c>
      <c r="AK348" s="6">
        <v>63.299999999999898</v>
      </c>
      <c r="AL348" s="4">
        <v>391</v>
      </c>
      <c r="AM348" s="4">
        <v>2017</v>
      </c>
      <c r="AN348" s="4">
        <v>321</v>
      </c>
      <c r="AO348" s="6">
        <v>301083</v>
      </c>
      <c r="AP348" s="6">
        <v>123605</v>
      </c>
      <c r="AQ348" s="6">
        <v>177478</v>
      </c>
      <c r="AS348" s="6">
        <v>78.5</v>
      </c>
      <c r="AT348" s="6">
        <v>58.1</v>
      </c>
      <c r="AV348" s="4">
        <v>28</v>
      </c>
      <c r="AW348" s="4">
        <v>32</v>
      </c>
    </row>
    <row r="349" spans="1:49" x14ac:dyDescent="0.2">
      <c r="A349" s="1">
        <v>44378</v>
      </c>
      <c r="B349">
        <f t="shared" si="48"/>
        <v>-4.8099999999999996</v>
      </c>
      <c r="C349" s="1" t="s">
        <v>57</v>
      </c>
      <c r="D349" s="1" t="s">
        <v>62</v>
      </c>
      <c r="E349" s="1" t="s">
        <v>65</v>
      </c>
      <c r="F349" s="1" t="s">
        <v>48</v>
      </c>
      <c r="G349">
        <v>2126</v>
      </c>
      <c r="H349" s="4">
        <v>69.81</v>
      </c>
      <c r="I349" s="4">
        <v>112</v>
      </c>
      <c r="J349" s="4">
        <v>60</v>
      </c>
      <c r="K349" s="4">
        <v>114.72</v>
      </c>
      <c r="L349" s="4">
        <v>145</v>
      </c>
      <c r="M349" s="4">
        <v>71</v>
      </c>
      <c r="N349" s="4">
        <v>101</v>
      </c>
      <c r="O349" s="4">
        <v>55</v>
      </c>
      <c r="P349" s="4">
        <v>45.215778943251102</v>
      </c>
      <c r="Q349" s="4">
        <v>65.538056762460997</v>
      </c>
      <c r="R349" s="4">
        <v>64</v>
      </c>
      <c r="S349" s="7" t="s">
        <v>32</v>
      </c>
      <c r="T349" s="4">
        <v>414744</v>
      </c>
      <c r="U349" s="4">
        <v>605887</v>
      </c>
      <c r="V349" s="4">
        <v>1462</v>
      </c>
      <c r="W349" s="4">
        <v>122400</v>
      </c>
      <c r="X349" s="4">
        <v>200478</v>
      </c>
      <c r="Y349" s="4">
        <v>399000</v>
      </c>
      <c r="Z349" s="4">
        <v>120000</v>
      </c>
      <c r="AA349" s="4">
        <v>8809</v>
      </c>
      <c r="AB349" s="4">
        <v>92813</v>
      </c>
      <c r="AC349" s="4">
        <v>1008229</v>
      </c>
      <c r="AD349" s="4">
        <v>864</v>
      </c>
      <c r="AE349" s="4">
        <v>20329</v>
      </c>
      <c r="AF349" s="4">
        <v>1122235</v>
      </c>
      <c r="AG349" s="6">
        <v>28794</v>
      </c>
      <c r="AH349" s="6">
        <v>28310</v>
      </c>
      <c r="AI349" s="6">
        <v>484</v>
      </c>
      <c r="AJ349" s="6">
        <v>67680</v>
      </c>
      <c r="AK349" s="6">
        <v>67.900000000000006</v>
      </c>
      <c r="AL349" s="4">
        <v>373</v>
      </c>
      <c r="AM349" s="4">
        <v>1940</v>
      </c>
      <c r="AN349" s="4">
        <v>300</v>
      </c>
      <c r="AO349" s="6">
        <v>345591</v>
      </c>
      <c r="AP349" s="6">
        <v>152525</v>
      </c>
      <c r="AQ349" s="6">
        <v>193066</v>
      </c>
      <c r="AS349" s="6">
        <v>78.3</v>
      </c>
      <c r="AT349" s="6">
        <v>57.8</v>
      </c>
      <c r="AV349" s="4">
        <v>25</v>
      </c>
      <c r="AW349" s="4">
        <v>28</v>
      </c>
    </row>
    <row r="350" spans="1:49" x14ac:dyDescent="0.2">
      <c r="A350" s="1">
        <v>44377</v>
      </c>
      <c r="B350">
        <f t="shared" si="48"/>
        <v>-4.8099999999999996</v>
      </c>
      <c r="C350" s="1" t="s">
        <v>57</v>
      </c>
      <c r="D350" s="1" t="s">
        <v>62</v>
      </c>
      <c r="E350" s="1" t="s">
        <v>65</v>
      </c>
      <c r="F350" s="1" t="s">
        <v>48</v>
      </c>
      <c r="G350">
        <v>2106</v>
      </c>
      <c r="H350" s="4">
        <v>64.650000000000006</v>
      </c>
      <c r="I350" s="4">
        <v>111</v>
      </c>
      <c r="J350" s="4">
        <v>59</v>
      </c>
      <c r="K350" s="4">
        <v>107.73</v>
      </c>
      <c r="L350" s="4">
        <v>125</v>
      </c>
      <c r="M350" s="4">
        <v>68</v>
      </c>
      <c r="N350" s="4">
        <v>98</v>
      </c>
      <c r="O350" s="4">
        <v>53</v>
      </c>
      <c r="P350" s="4">
        <v>43.615458134468298</v>
      </c>
      <c r="Q350" s="4">
        <v>64.577421693673102</v>
      </c>
      <c r="R350" s="4">
        <v>61</v>
      </c>
      <c r="S350" s="7" t="s">
        <v>32</v>
      </c>
      <c r="T350" s="4">
        <v>426845</v>
      </c>
      <c r="U350" s="4">
        <v>594826</v>
      </c>
      <c r="V350" s="4">
        <v>2881</v>
      </c>
      <c r="W350" s="4">
        <v>122400</v>
      </c>
      <c r="X350" s="4">
        <v>200478</v>
      </c>
      <c r="Y350" s="4">
        <v>389000</v>
      </c>
      <c r="Z350" s="4">
        <v>120000</v>
      </c>
      <c r="AA350" s="4">
        <v>7748</v>
      </c>
      <c r="AB350" s="4">
        <v>96078</v>
      </c>
      <c r="AC350" s="4">
        <v>1129008</v>
      </c>
      <c r="AD350" s="4">
        <v>1238</v>
      </c>
      <c r="AE350" s="4">
        <v>22438</v>
      </c>
      <c r="AF350" s="4">
        <v>1248762</v>
      </c>
      <c r="AG350" s="6">
        <v>28922</v>
      </c>
      <c r="AH350" s="6">
        <v>28519</v>
      </c>
      <c r="AI350" s="6">
        <v>403</v>
      </c>
      <c r="AJ350" s="6">
        <v>65204</v>
      </c>
      <c r="AK350" s="6">
        <v>70.900000000000006</v>
      </c>
      <c r="AL350" s="4">
        <v>417</v>
      </c>
      <c r="AM350" s="4">
        <v>1830</v>
      </c>
      <c r="AN350" s="4">
        <v>287</v>
      </c>
      <c r="AO350" s="6">
        <v>316965</v>
      </c>
      <c r="AP350" s="6">
        <v>141216</v>
      </c>
      <c r="AQ350" s="6">
        <v>175749</v>
      </c>
      <c r="AS350" s="6">
        <v>78</v>
      </c>
      <c r="AT350" s="6">
        <v>57.5</v>
      </c>
      <c r="AV350" s="4">
        <v>22</v>
      </c>
      <c r="AW350" s="4">
        <v>26</v>
      </c>
    </row>
    <row r="351" spans="1:49" x14ac:dyDescent="0.2">
      <c r="A351" s="1">
        <v>44376</v>
      </c>
      <c r="B351">
        <f t="shared" si="48"/>
        <v>-4.8099999999999996</v>
      </c>
      <c r="C351" s="1" t="s">
        <v>57</v>
      </c>
      <c r="D351" s="1" t="s">
        <v>62</v>
      </c>
      <c r="E351" s="1" t="s">
        <v>65</v>
      </c>
      <c r="F351" s="1" t="s">
        <v>48</v>
      </c>
      <c r="G351">
        <v>2074</v>
      </c>
      <c r="H351" s="4">
        <v>55.09</v>
      </c>
      <c r="I351" s="4">
        <v>112</v>
      </c>
      <c r="J351" s="4">
        <v>57</v>
      </c>
      <c r="K351" s="4">
        <v>103.92</v>
      </c>
      <c r="L351" s="4">
        <v>103</v>
      </c>
      <c r="M351" s="4">
        <v>66</v>
      </c>
      <c r="N351" s="4">
        <v>92</v>
      </c>
      <c r="O351" s="4">
        <v>52</v>
      </c>
      <c r="P351" s="4">
        <v>44.034465298939601</v>
      </c>
      <c r="Q351" s="4">
        <v>64.237314380843401</v>
      </c>
      <c r="R351" s="4">
        <v>63</v>
      </c>
      <c r="S351" s="7" t="s">
        <v>32</v>
      </c>
      <c r="T351" s="4">
        <v>382071</v>
      </c>
      <c r="U351" s="4">
        <v>584573</v>
      </c>
      <c r="V351" s="4">
        <v>2201</v>
      </c>
      <c r="W351" s="4">
        <v>122400</v>
      </c>
      <c r="X351" s="4">
        <v>199070</v>
      </c>
      <c r="Y351" s="4">
        <v>382000</v>
      </c>
      <c r="Z351" s="4">
        <v>120000</v>
      </c>
      <c r="AA351" s="4">
        <v>5903</v>
      </c>
      <c r="AB351" s="4">
        <v>109039</v>
      </c>
      <c r="AC351" s="4">
        <v>758984</v>
      </c>
      <c r="AD351" s="4">
        <v>1383</v>
      </c>
      <c r="AE351" s="4">
        <v>13691</v>
      </c>
      <c r="AF351" s="4">
        <v>883097</v>
      </c>
      <c r="AG351" s="6">
        <v>28199</v>
      </c>
      <c r="AH351" s="6">
        <v>27788</v>
      </c>
      <c r="AI351" s="6">
        <v>411</v>
      </c>
      <c r="AJ351" s="6">
        <v>61931</v>
      </c>
      <c r="AK351" s="6">
        <v>73.099999999999895</v>
      </c>
      <c r="AL351" s="4">
        <v>368</v>
      </c>
      <c r="AM351" s="4">
        <v>1751</v>
      </c>
      <c r="AN351" s="4">
        <v>283</v>
      </c>
      <c r="AO351" s="6">
        <v>288679</v>
      </c>
      <c r="AP351" s="6">
        <v>137991</v>
      </c>
      <c r="AQ351" s="6">
        <v>150688</v>
      </c>
      <c r="AS351" s="6">
        <v>77.8</v>
      </c>
      <c r="AT351" s="6">
        <v>57.2</v>
      </c>
      <c r="AV351" s="4">
        <v>24</v>
      </c>
      <c r="AW351" s="4">
        <v>24</v>
      </c>
    </row>
    <row r="352" spans="1:49" x14ac:dyDescent="0.2">
      <c r="A352" s="1">
        <v>44375</v>
      </c>
      <c r="B352">
        <f t="shared" si="48"/>
        <v>-4.8099999999999996</v>
      </c>
      <c r="C352" s="1" t="s">
        <v>57</v>
      </c>
      <c r="D352" s="1" t="s">
        <v>62</v>
      </c>
      <c r="E352" s="1" t="s">
        <v>65</v>
      </c>
      <c r="F352" s="1" t="s">
        <v>48</v>
      </c>
      <c r="G352">
        <v>2046</v>
      </c>
      <c r="H352" s="4">
        <v>47.47</v>
      </c>
      <c r="I352" s="4">
        <v>112</v>
      </c>
      <c r="J352" s="4">
        <v>58</v>
      </c>
      <c r="K352" s="4">
        <v>97.15</v>
      </c>
      <c r="L352" s="4">
        <v>124</v>
      </c>
      <c r="M352" s="4">
        <v>70</v>
      </c>
      <c r="N352" s="4">
        <v>98</v>
      </c>
      <c r="O352" s="4">
        <v>53</v>
      </c>
      <c r="P352" s="4">
        <v>41.681641503679103</v>
      </c>
      <c r="Q352" s="4">
        <v>63.305744616305603</v>
      </c>
      <c r="R352" s="4">
        <v>62</v>
      </c>
      <c r="S352" s="7" t="s">
        <v>32</v>
      </c>
      <c r="T352" s="4">
        <v>286682</v>
      </c>
      <c r="U352" s="4">
        <v>579147</v>
      </c>
      <c r="V352" s="4">
        <v>1348</v>
      </c>
      <c r="W352" s="4">
        <v>122400</v>
      </c>
      <c r="X352" s="4">
        <v>199070</v>
      </c>
      <c r="Y352" s="4">
        <v>377000</v>
      </c>
      <c r="Z352" s="4">
        <v>120000</v>
      </c>
      <c r="AA352" s="4">
        <v>5477</v>
      </c>
      <c r="AB352" s="4">
        <v>95170</v>
      </c>
      <c r="AC352" s="4">
        <v>999273</v>
      </c>
      <c r="AD352" s="4">
        <v>889</v>
      </c>
      <c r="AE352" s="4">
        <v>17179</v>
      </c>
      <c r="AF352" s="4">
        <v>1112511</v>
      </c>
      <c r="AG352" s="6">
        <v>28418</v>
      </c>
      <c r="AH352" s="6">
        <v>27940</v>
      </c>
      <c r="AI352" s="6">
        <v>478</v>
      </c>
      <c r="AJ352" s="6">
        <v>57742</v>
      </c>
      <c r="AK352" s="6">
        <v>73.900000000000006</v>
      </c>
      <c r="AL352" s="4">
        <v>310</v>
      </c>
      <c r="AM352" s="4">
        <v>1748</v>
      </c>
      <c r="AN352" s="4">
        <v>297</v>
      </c>
      <c r="AO352" s="6">
        <v>265276</v>
      </c>
      <c r="AP352" s="6">
        <v>127260</v>
      </c>
      <c r="AQ352" s="6">
        <v>138016</v>
      </c>
      <c r="AS352" s="6">
        <v>77.5</v>
      </c>
      <c r="AT352" s="6">
        <v>56.9</v>
      </c>
      <c r="AV352" s="4">
        <v>13</v>
      </c>
      <c r="AW352" s="4">
        <v>18</v>
      </c>
    </row>
    <row r="353" spans="1:49" x14ac:dyDescent="0.2">
      <c r="A353" s="1">
        <v>44374</v>
      </c>
      <c r="B353">
        <v>-6.68</v>
      </c>
      <c r="C353" s="1" t="s">
        <v>57</v>
      </c>
      <c r="D353" s="1" t="s">
        <v>62</v>
      </c>
      <c r="E353" s="1" t="s">
        <v>65</v>
      </c>
      <c r="F353" s="1" t="s">
        <v>48</v>
      </c>
      <c r="G353">
        <v>2013</v>
      </c>
      <c r="H353" s="4">
        <v>84.73</v>
      </c>
      <c r="I353" s="4">
        <v>103</v>
      </c>
      <c r="J353" s="4">
        <v>91</v>
      </c>
      <c r="K353" s="4">
        <v>99.15</v>
      </c>
      <c r="L353" s="4">
        <v>107</v>
      </c>
      <c r="M353" s="4">
        <v>68</v>
      </c>
      <c r="N353" s="4">
        <v>89</v>
      </c>
      <c r="O353" s="4">
        <v>62</v>
      </c>
      <c r="P353" s="4">
        <v>58.257016409814398</v>
      </c>
      <c r="Q353" s="4">
        <v>71.833890235712502</v>
      </c>
      <c r="R353" s="4">
        <v>67</v>
      </c>
      <c r="S353" s="7" t="s">
        <v>32</v>
      </c>
      <c r="T353" s="4">
        <v>309787</v>
      </c>
      <c r="U353" s="4">
        <v>598070</v>
      </c>
      <c r="V353" s="4">
        <v>40</v>
      </c>
      <c r="W353" s="4">
        <v>122400</v>
      </c>
      <c r="X353" s="4">
        <v>199070</v>
      </c>
      <c r="Y353" s="4">
        <v>399000</v>
      </c>
      <c r="Z353" s="4">
        <v>120000</v>
      </c>
      <c r="AA353" s="4">
        <v>2400</v>
      </c>
      <c r="AB353" s="4">
        <v>72232</v>
      </c>
      <c r="AC353" s="4">
        <v>1122938</v>
      </c>
      <c r="AD353" s="4">
        <v>40</v>
      </c>
      <c r="AE353" s="4">
        <v>14899</v>
      </c>
      <c r="AF353" s="4">
        <v>1210109</v>
      </c>
      <c r="AG353" s="6">
        <v>18502</v>
      </c>
      <c r="AH353" s="6">
        <v>18226</v>
      </c>
      <c r="AI353" s="6">
        <v>276</v>
      </c>
      <c r="AJ353" s="6">
        <v>51576</v>
      </c>
      <c r="AK353" s="6">
        <v>71.5</v>
      </c>
      <c r="AL353" s="4">
        <v>267</v>
      </c>
      <c r="AM353" s="4">
        <v>1610</v>
      </c>
      <c r="AN353" s="4">
        <v>263</v>
      </c>
      <c r="AO353" s="6">
        <v>263267</v>
      </c>
      <c r="AP353" s="6">
        <v>139712</v>
      </c>
      <c r="AQ353" s="6">
        <v>123555</v>
      </c>
      <c r="AS353" s="6">
        <v>77.3</v>
      </c>
      <c r="AT353" s="6">
        <v>56.7</v>
      </c>
      <c r="AV353" s="4">
        <v>22</v>
      </c>
      <c r="AW353" s="4">
        <v>24</v>
      </c>
    </row>
    <row r="354" spans="1:49" x14ac:dyDescent="0.2">
      <c r="A354" s="1">
        <v>44373</v>
      </c>
      <c r="B354">
        <f>B353</f>
        <v>-6.68</v>
      </c>
      <c r="C354" s="1" t="s">
        <v>57</v>
      </c>
      <c r="D354" s="1" t="s">
        <v>62</v>
      </c>
      <c r="E354" s="1" t="s">
        <v>65</v>
      </c>
      <c r="F354" s="1" t="s">
        <v>48</v>
      </c>
      <c r="G354">
        <v>1994</v>
      </c>
      <c r="H354" s="4">
        <v>105.42</v>
      </c>
      <c r="I354" s="4">
        <v>102</v>
      </c>
      <c r="J354" s="4">
        <v>90</v>
      </c>
      <c r="K354" s="4">
        <v>157.30000000000001</v>
      </c>
      <c r="L354" s="4">
        <v>125</v>
      </c>
      <c r="M354" s="4">
        <v>69</v>
      </c>
      <c r="N354" s="4">
        <v>95</v>
      </c>
      <c r="O354" s="4">
        <v>68</v>
      </c>
      <c r="P354" s="4">
        <v>58.240623280306401</v>
      </c>
      <c r="Q354" s="4">
        <v>69.813922607513305</v>
      </c>
      <c r="R354" s="4">
        <v>73</v>
      </c>
      <c r="S354" s="7" t="s">
        <v>32</v>
      </c>
      <c r="T354" s="4">
        <v>330511</v>
      </c>
      <c r="U354" s="4">
        <v>596070</v>
      </c>
      <c r="V354" s="4">
        <v>322</v>
      </c>
      <c r="W354" s="4">
        <v>122400</v>
      </c>
      <c r="X354" s="4">
        <v>199070</v>
      </c>
      <c r="Y354" s="4">
        <v>397000</v>
      </c>
      <c r="Z354" s="4">
        <v>120000</v>
      </c>
      <c r="AA354" s="4">
        <v>2400</v>
      </c>
      <c r="AB354" s="4">
        <v>70348</v>
      </c>
      <c r="AC354" s="4">
        <v>523540</v>
      </c>
      <c r="AD354" s="4">
        <v>322</v>
      </c>
      <c r="AE354" s="4">
        <v>16714</v>
      </c>
      <c r="AF354" s="4">
        <v>610924</v>
      </c>
      <c r="AG354" s="6">
        <v>16300</v>
      </c>
      <c r="AH354" s="6">
        <v>16058</v>
      </c>
      <c r="AI354" s="6">
        <v>242</v>
      </c>
      <c r="AJ354" s="6">
        <v>46113</v>
      </c>
      <c r="AK354" s="6">
        <v>66.599999999999895</v>
      </c>
      <c r="AL354" s="4">
        <v>268</v>
      </c>
      <c r="AM354" s="4">
        <v>1549</v>
      </c>
      <c r="AN354" s="4">
        <v>256</v>
      </c>
      <c r="AO354" s="6">
        <v>433946</v>
      </c>
      <c r="AP354" s="6">
        <v>234441</v>
      </c>
      <c r="AQ354" s="6">
        <v>199505</v>
      </c>
      <c r="AS354" s="6">
        <v>77.099999999999994</v>
      </c>
      <c r="AT354" s="6">
        <v>56.4</v>
      </c>
      <c r="AV354" s="4">
        <v>17</v>
      </c>
      <c r="AW354" s="4">
        <v>17</v>
      </c>
    </row>
    <row r="355" spans="1:49" x14ac:dyDescent="0.2">
      <c r="A355" s="1">
        <v>44372</v>
      </c>
      <c r="B355">
        <f t="shared" ref="B355:B359" si="49">B354</f>
        <v>-6.68</v>
      </c>
      <c r="C355" s="1" t="s">
        <v>57</v>
      </c>
      <c r="D355" s="1" t="s">
        <v>62</v>
      </c>
      <c r="E355" s="1" t="s">
        <v>65</v>
      </c>
      <c r="F355" s="1" t="s">
        <v>48</v>
      </c>
      <c r="G355">
        <v>1990</v>
      </c>
      <c r="H355" s="4">
        <v>83.28</v>
      </c>
      <c r="I355" s="4">
        <v>111</v>
      </c>
      <c r="J355" s="4">
        <v>62</v>
      </c>
      <c r="K355" s="4">
        <v>127.36</v>
      </c>
      <c r="L355" s="4">
        <v>124</v>
      </c>
      <c r="M355" s="4">
        <v>69</v>
      </c>
      <c r="N355" s="4">
        <v>101</v>
      </c>
      <c r="O355" s="4">
        <v>58</v>
      </c>
      <c r="P355" s="4">
        <v>45.196547375392697</v>
      </c>
      <c r="Q355" s="4">
        <v>66.000859425491797</v>
      </c>
      <c r="R355" s="4">
        <v>67</v>
      </c>
      <c r="S355" s="7" t="s">
        <v>32</v>
      </c>
      <c r="T355" s="4">
        <v>385892</v>
      </c>
      <c r="U355" s="4">
        <v>596070</v>
      </c>
      <c r="V355" s="4">
        <v>2845</v>
      </c>
      <c r="W355" s="4">
        <v>122400</v>
      </c>
      <c r="X355" s="4">
        <v>199070</v>
      </c>
      <c r="Y355" s="4">
        <v>397000</v>
      </c>
      <c r="Z355" s="4">
        <v>120000</v>
      </c>
      <c r="AA355" s="4">
        <v>2400</v>
      </c>
      <c r="AB355" s="4">
        <v>85497</v>
      </c>
      <c r="AC355" s="4">
        <v>749398</v>
      </c>
      <c r="AD355" s="4">
        <v>1359</v>
      </c>
      <c r="AE355" s="4">
        <v>15617</v>
      </c>
      <c r="AF355" s="4">
        <v>851871</v>
      </c>
      <c r="AG355" s="6">
        <v>18169</v>
      </c>
      <c r="AH355" s="6">
        <v>17866</v>
      </c>
      <c r="AI355" s="6">
        <v>303</v>
      </c>
      <c r="AJ355" s="6">
        <v>40419</v>
      </c>
      <c r="AK355" s="6">
        <v>60.299999999999898</v>
      </c>
      <c r="AL355" s="4">
        <v>257</v>
      </c>
      <c r="AM355" s="4">
        <v>1542</v>
      </c>
      <c r="AN355" s="4">
        <v>257</v>
      </c>
      <c r="AO355" s="6">
        <v>377267</v>
      </c>
      <c r="AP355" s="6">
        <v>202497</v>
      </c>
      <c r="AQ355" s="6">
        <v>174770</v>
      </c>
      <c r="AS355" s="6">
        <v>76.7</v>
      </c>
      <c r="AT355" s="6">
        <v>56.1</v>
      </c>
      <c r="AV355" s="4">
        <v>22</v>
      </c>
      <c r="AW355" s="4">
        <v>22</v>
      </c>
    </row>
    <row r="356" spans="1:49" x14ac:dyDescent="0.2">
      <c r="A356" s="1">
        <v>44371</v>
      </c>
      <c r="B356">
        <f t="shared" si="49"/>
        <v>-6.68</v>
      </c>
      <c r="C356" s="1" t="s">
        <v>57</v>
      </c>
      <c r="D356" s="1" t="s">
        <v>62</v>
      </c>
      <c r="E356" s="1" t="s">
        <v>65</v>
      </c>
      <c r="F356" s="1" t="s">
        <v>48</v>
      </c>
      <c r="G356">
        <v>1970</v>
      </c>
      <c r="H356" s="4">
        <v>70.040000000000006</v>
      </c>
      <c r="I356" s="4">
        <v>112</v>
      </c>
      <c r="J356" s="4">
        <v>60</v>
      </c>
      <c r="K356" s="4">
        <v>110.57</v>
      </c>
      <c r="L356" s="4">
        <v>135</v>
      </c>
      <c r="M356" s="4">
        <v>70</v>
      </c>
      <c r="N356" s="4">
        <v>100</v>
      </c>
      <c r="O356" s="4">
        <v>54</v>
      </c>
      <c r="P356" s="4">
        <v>44.706299579508197</v>
      </c>
      <c r="Q356" s="4">
        <v>65.456548971418201</v>
      </c>
      <c r="R356" s="4">
        <v>64</v>
      </c>
      <c r="S356" s="7" t="s">
        <v>32</v>
      </c>
      <c r="T356" s="4">
        <v>390514</v>
      </c>
      <c r="U356" s="4">
        <v>584073</v>
      </c>
      <c r="V356" s="4">
        <v>1666</v>
      </c>
      <c r="W356" s="4">
        <v>122400</v>
      </c>
      <c r="X356" s="4">
        <v>199073</v>
      </c>
      <c r="Y356" s="4">
        <v>385000</v>
      </c>
      <c r="Z356" s="4">
        <v>120000</v>
      </c>
      <c r="AA356" s="4">
        <v>2400</v>
      </c>
      <c r="AB356" s="4">
        <v>89102</v>
      </c>
      <c r="AC356" s="4">
        <v>974813</v>
      </c>
      <c r="AD356" s="4">
        <v>1429</v>
      </c>
      <c r="AE356" s="4">
        <v>15500</v>
      </c>
      <c r="AF356" s="4">
        <v>1080844</v>
      </c>
      <c r="AG356" s="6">
        <v>18712</v>
      </c>
      <c r="AH356" s="6">
        <v>18404</v>
      </c>
      <c r="AI356" s="6">
        <v>308</v>
      </c>
      <c r="AJ356" s="6">
        <v>35271</v>
      </c>
      <c r="AK356" s="6">
        <v>54.799999999999898</v>
      </c>
      <c r="AL356" s="4">
        <v>255</v>
      </c>
      <c r="AM356" s="4">
        <v>1521</v>
      </c>
      <c r="AN356" s="4">
        <v>259</v>
      </c>
      <c r="AO356" s="6">
        <v>399347</v>
      </c>
      <c r="AP356" s="6">
        <v>221534</v>
      </c>
      <c r="AQ356" s="6">
        <v>177813</v>
      </c>
      <c r="AS356" s="6">
        <v>76.3</v>
      </c>
      <c r="AT356" s="6">
        <v>55.8</v>
      </c>
      <c r="AV356" s="4">
        <v>23</v>
      </c>
      <c r="AW356" s="4">
        <v>29</v>
      </c>
    </row>
    <row r="357" spans="1:49" x14ac:dyDescent="0.2">
      <c r="A357" s="1">
        <v>44370</v>
      </c>
      <c r="B357">
        <f t="shared" si="49"/>
        <v>-6.68</v>
      </c>
      <c r="C357" s="1" t="s">
        <v>57</v>
      </c>
      <c r="D357" s="1" t="s">
        <v>62</v>
      </c>
      <c r="E357" s="1" t="s">
        <v>65</v>
      </c>
      <c r="F357" s="1" t="s">
        <v>48</v>
      </c>
      <c r="G357">
        <v>1970</v>
      </c>
      <c r="H357" s="4">
        <v>65.86</v>
      </c>
      <c r="I357" s="4">
        <v>112</v>
      </c>
      <c r="J357" s="4">
        <v>60</v>
      </c>
      <c r="K357" s="4">
        <v>109.11</v>
      </c>
      <c r="L357" s="4">
        <v>146</v>
      </c>
      <c r="M357" s="4">
        <v>70</v>
      </c>
      <c r="N357" s="4">
        <v>99</v>
      </c>
      <c r="O357" s="4">
        <v>54</v>
      </c>
      <c r="P357" s="4">
        <v>43.999612598884802</v>
      </c>
      <c r="Q357" s="4">
        <v>65.482443677361701</v>
      </c>
      <c r="R357" s="4">
        <v>63</v>
      </c>
      <c r="S357" s="7" t="s">
        <v>32</v>
      </c>
      <c r="T357" s="4">
        <v>369430</v>
      </c>
      <c r="U357" s="4">
        <v>574073</v>
      </c>
      <c r="V357" s="4">
        <v>2977</v>
      </c>
      <c r="W357" s="4">
        <v>122400</v>
      </c>
      <c r="X357" s="4">
        <v>199073</v>
      </c>
      <c r="Y357" s="4">
        <v>375000</v>
      </c>
      <c r="Z357" s="4">
        <v>120000</v>
      </c>
      <c r="AA357" s="4">
        <v>2400</v>
      </c>
      <c r="AB357" s="4">
        <v>98995</v>
      </c>
      <c r="AC357" s="4">
        <v>1042711</v>
      </c>
      <c r="AD357" s="4">
        <v>1234</v>
      </c>
      <c r="AE357" s="4">
        <v>6423</v>
      </c>
      <c r="AF357" s="4">
        <v>1149363</v>
      </c>
      <c r="AG357" s="6">
        <v>18350</v>
      </c>
      <c r="AH357" s="6">
        <v>18023</v>
      </c>
      <c r="AI357" s="6">
        <v>327</v>
      </c>
      <c r="AJ357" s="6">
        <v>30729</v>
      </c>
      <c r="AK357" s="6">
        <v>50.1</v>
      </c>
      <c r="AL357" s="4">
        <v>275</v>
      </c>
      <c r="AM357" s="4">
        <v>1500</v>
      </c>
      <c r="AN357" s="4">
        <v>246</v>
      </c>
      <c r="AO357" s="6">
        <v>375635</v>
      </c>
      <c r="AP357" s="6">
        <v>207647</v>
      </c>
      <c r="AQ357" s="6">
        <v>167988</v>
      </c>
      <c r="AS357" s="6">
        <v>75.900000000000006</v>
      </c>
      <c r="AT357" s="6">
        <v>55.5</v>
      </c>
      <c r="AV357" s="4">
        <v>8</v>
      </c>
      <c r="AW357" s="4">
        <v>9</v>
      </c>
    </row>
    <row r="358" spans="1:49" x14ac:dyDescent="0.2">
      <c r="A358" s="1">
        <v>44369</v>
      </c>
      <c r="B358">
        <f t="shared" si="49"/>
        <v>-6.68</v>
      </c>
      <c r="C358" s="1" t="s">
        <v>57</v>
      </c>
      <c r="D358" s="1" t="s">
        <v>62</v>
      </c>
      <c r="E358" s="1" t="s">
        <v>65</v>
      </c>
      <c r="F358" s="1" t="s">
        <v>48</v>
      </c>
      <c r="G358">
        <v>1952</v>
      </c>
      <c r="H358" s="4">
        <v>57.27</v>
      </c>
      <c r="I358" s="4">
        <v>113</v>
      </c>
      <c r="J358" s="4">
        <v>59</v>
      </c>
      <c r="K358" s="4">
        <v>101.99</v>
      </c>
      <c r="L358" s="4">
        <v>117</v>
      </c>
      <c r="M358" s="4">
        <v>69</v>
      </c>
      <c r="N358" s="4">
        <v>98</v>
      </c>
      <c r="O358" s="4">
        <v>53</v>
      </c>
      <c r="P358" s="4">
        <v>43.585368694687297</v>
      </c>
      <c r="Q358" s="4">
        <v>65.348686430918903</v>
      </c>
      <c r="R358" s="4">
        <v>63</v>
      </c>
      <c r="S358" s="7" t="s">
        <v>32</v>
      </c>
      <c r="T358" s="4">
        <v>359585</v>
      </c>
      <c r="U358" s="4">
        <v>574073</v>
      </c>
      <c r="V358" s="4">
        <v>2129</v>
      </c>
      <c r="W358" s="4">
        <v>122400</v>
      </c>
      <c r="X358" s="4">
        <v>199073</v>
      </c>
      <c r="Y358" s="4">
        <v>375000</v>
      </c>
      <c r="Z358" s="4">
        <v>120000</v>
      </c>
      <c r="AA358" s="4">
        <v>2400</v>
      </c>
      <c r="AB358" s="4">
        <v>111714</v>
      </c>
      <c r="AC358" s="4">
        <v>700159</v>
      </c>
      <c r="AD358" s="4">
        <v>1426</v>
      </c>
      <c r="AE358" s="4">
        <v>10093</v>
      </c>
      <c r="AF358" s="4">
        <v>823392</v>
      </c>
      <c r="AG358" s="6">
        <v>17403</v>
      </c>
      <c r="AH358" s="6">
        <v>17097</v>
      </c>
      <c r="AI358" s="6">
        <v>306</v>
      </c>
      <c r="AJ358" s="6">
        <v>26271</v>
      </c>
      <c r="AK358" s="6">
        <v>44.899999999999899</v>
      </c>
      <c r="AL358" s="4">
        <v>242</v>
      </c>
      <c r="AM358" s="4">
        <v>1546</v>
      </c>
      <c r="AN358" s="4">
        <v>250</v>
      </c>
      <c r="AO358" s="6">
        <v>550712</v>
      </c>
      <c r="AP358" s="6">
        <v>299837</v>
      </c>
      <c r="AQ358" s="6">
        <v>250875</v>
      </c>
      <c r="AS358" s="6">
        <v>75.599999999999994</v>
      </c>
      <c r="AT358" s="6">
        <v>55.2</v>
      </c>
      <c r="AV358" s="4">
        <v>13</v>
      </c>
      <c r="AW358" s="4">
        <v>17</v>
      </c>
    </row>
    <row r="359" spans="1:49" x14ac:dyDescent="0.2">
      <c r="A359" s="1">
        <v>44368</v>
      </c>
      <c r="B359">
        <f t="shared" si="49"/>
        <v>-6.68</v>
      </c>
      <c r="C359" s="1" t="s">
        <v>57</v>
      </c>
      <c r="D359" s="1" t="s">
        <v>62</v>
      </c>
      <c r="E359" s="1" t="s">
        <v>65</v>
      </c>
      <c r="F359" s="1" t="s">
        <v>48</v>
      </c>
      <c r="G359">
        <v>1942</v>
      </c>
      <c r="H359" s="4">
        <v>48.8</v>
      </c>
      <c r="I359" s="4">
        <v>114</v>
      </c>
      <c r="J359" s="4">
        <v>58</v>
      </c>
      <c r="K359" s="4">
        <v>86.16</v>
      </c>
      <c r="L359" s="4">
        <v>94</v>
      </c>
      <c r="M359" s="4">
        <v>65</v>
      </c>
      <c r="N359" s="4">
        <v>93</v>
      </c>
      <c r="O359" s="4">
        <v>51</v>
      </c>
      <c r="P359" s="4">
        <v>41.0379325496707</v>
      </c>
      <c r="Q359" s="4">
        <v>62.925204787248198</v>
      </c>
      <c r="R359" s="4">
        <v>59</v>
      </c>
      <c r="S359" s="7" t="s">
        <v>32</v>
      </c>
      <c r="T359" s="4">
        <v>266928</v>
      </c>
      <c r="U359" s="4">
        <v>574073</v>
      </c>
      <c r="V359" s="4">
        <v>1316</v>
      </c>
      <c r="W359" s="4">
        <v>122400</v>
      </c>
      <c r="X359" s="4">
        <v>199073</v>
      </c>
      <c r="Y359" s="4">
        <v>375000</v>
      </c>
      <c r="Z359" s="4">
        <v>120000</v>
      </c>
      <c r="AA359" s="4">
        <v>2400</v>
      </c>
      <c r="AB359" s="4">
        <v>97791</v>
      </c>
      <c r="AC359" s="4">
        <v>930127</v>
      </c>
      <c r="AD359" s="4">
        <v>1125</v>
      </c>
      <c r="AE359" s="4">
        <v>8117</v>
      </c>
      <c r="AF359" s="4">
        <v>1037160</v>
      </c>
      <c r="AG359" s="6">
        <v>16307</v>
      </c>
      <c r="AH359" s="6">
        <v>16032</v>
      </c>
      <c r="AI359" s="6">
        <v>275</v>
      </c>
      <c r="AJ359" s="6">
        <v>22564</v>
      </c>
      <c r="AK359" s="6">
        <v>40.6</v>
      </c>
      <c r="AL359" s="4">
        <v>233</v>
      </c>
      <c r="AM359" s="4">
        <v>1522</v>
      </c>
      <c r="AN359" s="4">
        <v>228</v>
      </c>
      <c r="AO359" s="6">
        <v>60405</v>
      </c>
      <c r="AP359" s="6">
        <v>21080</v>
      </c>
      <c r="AQ359" s="6">
        <v>39325</v>
      </c>
      <c r="AS359" s="6">
        <v>75</v>
      </c>
      <c r="AT359" s="6">
        <v>54.8</v>
      </c>
      <c r="AV359" s="4">
        <v>16</v>
      </c>
      <c r="AW359" s="4">
        <v>12</v>
      </c>
    </row>
    <row r="360" spans="1:49" x14ac:dyDescent="0.2">
      <c r="A360" s="1">
        <v>44367</v>
      </c>
      <c r="B360">
        <v>0.35</v>
      </c>
      <c r="C360" s="1" t="s">
        <v>57</v>
      </c>
      <c r="D360" s="1" t="s">
        <v>62</v>
      </c>
      <c r="E360" s="1" t="s">
        <v>65</v>
      </c>
      <c r="F360" s="1" t="s">
        <v>48</v>
      </c>
      <c r="G360">
        <v>1945</v>
      </c>
      <c r="H360" s="4">
        <v>111.09</v>
      </c>
      <c r="I360" s="4">
        <v>103</v>
      </c>
      <c r="J360" s="4">
        <v>92</v>
      </c>
      <c r="K360" s="4">
        <v>86.62</v>
      </c>
      <c r="L360" s="4">
        <v>104</v>
      </c>
      <c r="M360" s="4">
        <v>71</v>
      </c>
      <c r="N360" s="4">
        <v>90</v>
      </c>
      <c r="O360" s="4">
        <v>60</v>
      </c>
      <c r="P360" s="4">
        <v>54.795400600576002</v>
      </c>
      <c r="Q360" s="4">
        <v>71.695624817443203</v>
      </c>
      <c r="R360" s="4">
        <v>63</v>
      </c>
      <c r="S360" s="7" t="s">
        <v>32</v>
      </c>
      <c r="T360" s="4">
        <v>274072</v>
      </c>
      <c r="U360" s="4">
        <v>579073</v>
      </c>
      <c r="V360" s="4">
        <v>258</v>
      </c>
      <c r="W360" s="4">
        <v>122400</v>
      </c>
      <c r="X360" s="4">
        <v>199073</v>
      </c>
      <c r="Y360" s="4">
        <v>380000</v>
      </c>
      <c r="Z360" s="4">
        <v>120000</v>
      </c>
      <c r="AA360" s="4">
        <v>2400</v>
      </c>
      <c r="AB360" s="4">
        <v>71338</v>
      </c>
      <c r="AC360" s="4">
        <v>1062201</v>
      </c>
      <c r="AD360" s="4">
        <v>88</v>
      </c>
      <c r="AE360" s="4">
        <v>15878</v>
      </c>
      <c r="AF360" s="4">
        <v>1149505</v>
      </c>
      <c r="AG360" s="6">
        <v>10087</v>
      </c>
      <c r="AH360" s="6">
        <v>9926</v>
      </c>
      <c r="AI360" s="6">
        <v>161</v>
      </c>
      <c r="AJ360" s="6">
        <v>19036</v>
      </c>
      <c r="AK360" s="6">
        <v>35.799999999999898</v>
      </c>
      <c r="AL360" s="4">
        <v>207</v>
      </c>
      <c r="AM360" s="4">
        <v>1388</v>
      </c>
      <c r="AN360" s="4">
        <v>210</v>
      </c>
      <c r="AO360" s="6">
        <v>273158</v>
      </c>
      <c r="AP360" s="6">
        <v>163750</v>
      </c>
      <c r="AQ360" s="6">
        <v>109408</v>
      </c>
      <c r="AS360" s="6">
        <v>75</v>
      </c>
      <c r="AT360" s="6">
        <v>54.7</v>
      </c>
      <c r="AV360" s="4">
        <v>25</v>
      </c>
      <c r="AW360" s="4">
        <v>22</v>
      </c>
    </row>
    <row r="361" spans="1:49" x14ac:dyDescent="0.2">
      <c r="A361" s="1">
        <v>44366</v>
      </c>
      <c r="B361">
        <f>B360</f>
        <v>0.35</v>
      </c>
      <c r="C361" s="1" t="s">
        <v>57</v>
      </c>
      <c r="D361" s="1" t="s">
        <v>62</v>
      </c>
      <c r="E361" s="1" t="s">
        <v>65</v>
      </c>
      <c r="F361" s="1" t="s">
        <v>48</v>
      </c>
      <c r="G361">
        <v>1943</v>
      </c>
      <c r="H361" s="4">
        <v>96.25</v>
      </c>
      <c r="I361" s="4">
        <v>104</v>
      </c>
      <c r="J361" s="4">
        <v>89</v>
      </c>
      <c r="K361" s="4">
        <v>131.66999999999999</v>
      </c>
      <c r="L361" s="4">
        <v>92</v>
      </c>
      <c r="M361" s="4">
        <v>65</v>
      </c>
      <c r="N361" s="4">
        <v>95</v>
      </c>
      <c r="O361" s="4">
        <v>62</v>
      </c>
      <c r="P361" s="4">
        <v>52.183882468222301</v>
      </c>
      <c r="Q361" s="4">
        <v>67.907901754195606</v>
      </c>
      <c r="R361" s="4">
        <v>67</v>
      </c>
      <c r="S361" s="7" t="s">
        <v>32</v>
      </c>
      <c r="T361" s="4">
        <v>321938</v>
      </c>
      <c r="U361" s="4">
        <v>579073</v>
      </c>
      <c r="V361" s="4">
        <v>277</v>
      </c>
      <c r="W361" s="4">
        <v>122400</v>
      </c>
      <c r="X361" s="4">
        <v>199073</v>
      </c>
      <c r="Y361" s="4">
        <v>380000</v>
      </c>
      <c r="Z361" s="4">
        <v>120000</v>
      </c>
      <c r="AA361" s="4">
        <v>2400</v>
      </c>
      <c r="AB361" s="4">
        <v>71644</v>
      </c>
      <c r="AC361" s="4">
        <v>494861</v>
      </c>
      <c r="AD361" s="4">
        <v>277</v>
      </c>
      <c r="AE361" s="4">
        <v>19182</v>
      </c>
      <c r="AF361" s="4">
        <v>585964</v>
      </c>
      <c r="AG361" s="6">
        <v>8445</v>
      </c>
      <c r="AH361" s="6">
        <v>8298</v>
      </c>
      <c r="AI361" s="6">
        <v>147</v>
      </c>
      <c r="AJ361" s="6">
        <v>17686</v>
      </c>
      <c r="AK361" s="6">
        <v>34.299999999999898</v>
      </c>
      <c r="AL361" s="4">
        <v>211</v>
      </c>
      <c r="AM361" s="4">
        <v>1353</v>
      </c>
      <c r="AN361" s="4">
        <v>215</v>
      </c>
      <c r="AO361" s="6">
        <v>516604</v>
      </c>
      <c r="AP361" s="6">
        <v>280241</v>
      </c>
      <c r="AQ361" s="6">
        <v>236363</v>
      </c>
      <c r="AS361" s="6">
        <v>74.7</v>
      </c>
      <c r="AT361" s="6">
        <v>54.5</v>
      </c>
      <c r="AV361" s="4">
        <v>23</v>
      </c>
      <c r="AW361" s="4">
        <v>20</v>
      </c>
    </row>
    <row r="362" spans="1:49" x14ac:dyDescent="0.2">
      <c r="A362" s="1">
        <v>44365</v>
      </c>
      <c r="B362">
        <f t="shared" ref="B362:B366" si="50">B361</f>
        <v>0.35</v>
      </c>
      <c r="C362" s="1" t="s">
        <v>57</v>
      </c>
      <c r="D362" s="1" t="s">
        <v>62</v>
      </c>
      <c r="E362" s="1" t="s">
        <v>65</v>
      </c>
      <c r="F362" s="1" t="s">
        <v>48</v>
      </c>
      <c r="G362">
        <v>1927</v>
      </c>
      <c r="H362" s="4">
        <v>73.47</v>
      </c>
      <c r="I362" s="4">
        <v>113</v>
      </c>
      <c r="J362" s="4">
        <v>61</v>
      </c>
      <c r="K362" s="4">
        <v>115.87</v>
      </c>
      <c r="L362" s="4">
        <v>77</v>
      </c>
      <c r="M362" s="4">
        <v>60</v>
      </c>
      <c r="N362" s="4">
        <v>94</v>
      </c>
      <c r="O362" s="4">
        <v>55</v>
      </c>
      <c r="P362" s="4">
        <v>44.5418140924601</v>
      </c>
      <c r="Q362" s="4">
        <v>62.227286333906498</v>
      </c>
      <c r="R362" s="4">
        <v>68</v>
      </c>
      <c r="S362" s="7" t="s">
        <v>32</v>
      </c>
      <c r="T362" s="4">
        <v>349836</v>
      </c>
      <c r="U362" s="4">
        <v>579073</v>
      </c>
      <c r="V362" s="4">
        <v>3382</v>
      </c>
      <c r="W362" s="4">
        <v>122400</v>
      </c>
      <c r="X362" s="4">
        <v>199073</v>
      </c>
      <c r="Y362" s="4">
        <v>380000</v>
      </c>
      <c r="Z362" s="4">
        <v>120000</v>
      </c>
      <c r="AA362" s="4">
        <v>2400</v>
      </c>
      <c r="AB362" s="4">
        <v>86237</v>
      </c>
      <c r="AC362" s="4">
        <v>684079</v>
      </c>
      <c r="AD362" s="4">
        <v>1815</v>
      </c>
      <c r="AE362" s="4">
        <v>19332</v>
      </c>
      <c r="AF362" s="4">
        <v>791463</v>
      </c>
      <c r="AG362" s="6">
        <v>10320</v>
      </c>
      <c r="AH362" s="6">
        <v>10099</v>
      </c>
      <c r="AI362" s="6">
        <v>221</v>
      </c>
      <c r="AJ362" s="6">
        <v>17078</v>
      </c>
      <c r="AK362" s="6">
        <v>34.200000000000003</v>
      </c>
      <c r="AL362" s="4">
        <v>239</v>
      </c>
      <c r="AM362" s="4">
        <v>1368</v>
      </c>
      <c r="AN362" s="4">
        <v>223</v>
      </c>
      <c r="AO362" s="6">
        <v>428817</v>
      </c>
      <c r="AP362" s="6">
        <v>223140</v>
      </c>
      <c r="AQ362" s="6">
        <v>205677</v>
      </c>
      <c r="AS362" s="6">
        <v>74.2</v>
      </c>
      <c r="AT362" s="6">
        <v>54.1</v>
      </c>
      <c r="AV362" s="4">
        <v>12</v>
      </c>
      <c r="AW362" s="4">
        <v>18</v>
      </c>
    </row>
    <row r="363" spans="1:49" x14ac:dyDescent="0.2">
      <c r="A363" s="1">
        <v>44364</v>
      </c>
      <c r="B363">
        <f t="shared" si="50"/>
        <v>0.35</v>
      </c>
      <c r="C363" s="1" t="s">
        <v>57</v>
      </c>
      <c r="D363" s="1" t="s">
        <v>62</v>
      </c>
      <c r="E363" s="1" t="s">
        <v>65</v>
      </c>
      <c r="F363" s="1" t="s">
        <v>48</v>
      </c>
      <c r="G363">
        <v>1921</v>
      </c>
      <c r="H363" s="4">
        <v>66.849999999999994</v>
      </c>
      <c r="I363" s="4">
        <v>113</v>
      </c>
      <c r="J363" s="4">
        <v>59</v>
      </c>
      <c r="K363" s="4">
        <v>104.56</v>
      </c>
      <c r="L363" s="4">
        <v>106</v>
      </c>
      <c r="M363" s="4">
        <v>65</v>
      </c>
      <c r="N363" s="4">
        <v>98</v>
      </c>
      <c r="O363" s="4">
        <v>53</v>
      </c>
      <c r="P363" s="4">
        <v>43.369651809152401</v>
      </c>
      <c r="Q363" s="4">
        <v>63.656962982232798</v>
      </c>
      <c r="R363" s="4">
        <v>63</v>
      </c>
      <c r="S363" s="7" t="s">
        <v>32</v>
      </c>
      <c r="T363" s="4">
        <v>356381</v>
      </c>
      <c r="U363" s="4">
        <v>579131</v>
      </c>
      <c r="V363" s="4">
        <v>3476</v>
      </c>
      <c r="W363" s="4">
        <v>122400</v>
      </c>
      <c r="X363" s="4">
        <v>199131</v>
      </c>
      <c r="Y363" s="4">
        <v>380000</v>
      </c>
      <c r="Z363" s="4">
        <v>120000</v>
      </c>
      <c r="AA363" s="4">
        <v>2400</v>
      </c>
      <c r="AB363" s="4">
        <v>89727</v>
      </c>
      <c r="AC363" s="4">
        <v>934255</v>
      </c>
      <c r="AD363" s="4">
        <v>1812</v>
      </c>
      <c r="AE363" s="4">
        <v>13197</v>
      </c>
      <c r="AF363" s="4">
        <v>1038991</v>
      </c>
      <c r="AG363" s="6">
        <v>11106</v>
      </c>
      <c r="AH363" s="6">
        <v>10856</v>
      </c>
      <c r="AI363" s="6">
        <v>250</v>
      </c>
      <c r="AJ363" s="6">
        <v>16136</v>
      </c>
      <c r="AK363" s="6">
        <v>33.5</v>
      </c>
      <c r="AL363" s="4">
        <v>245</v>
      </c>
      <c r="AM363" s="4">
        <v>1326</v>
      </c>
      <c r="AN363" s="4">
        <v>210</v>
      </c>
      <c r="AO363" s="6">
        <v>467238</v>
      </c>
      <c r="AP363" s="6">
        <v>243978</v>
      </c>
      <c r="AQ363" s="6">
        <v>223260</v>
      </c>
      <c r="AS363" s="6">
        <v>73.8</v>
      </c>
      <c r="AT363" s="6">
        <v>53.7</v>
      </c>
      <c r="AV363" s="4">
        <v>6</v>
      </c>
      <c r="AW363" s="4">
        <v>9</v>
      </c>
    </row>
    <row r="364" spans="1:49" x14ac:dyDescent="0.2">
      <c r="A364" s="1">
        <v>44363</v>
      </c>
      <c r="B364">
        <f t="shared" si="50"/>
        <v>0.35</v>
      </c>
      <c r="C364" s="1" t="s">
        <v>57</v>
      </c>
      <c r="D364" s="1" t="s">
        <v>62</v>
      </c>
      <c r="E364" s="1" t="s">
        <v>65</v>
      </c>
      <c r="F364" s="1" t="s">
        <v>48</v>
      </c>
      <c r="G364">
        <v>1897</v>
      </c>
      <c r="H364" s="4">
        <v>66.05</v>
      </c>
      <c r="I364" s="4">
        <v>112</v>
      </c>
      <c r="J364" s="4">
        <v>60</v>
      </c>
      <c r="K364" s="4">
        <v>106.07</v>
      </c>
      <c r="L364" s="4">
        <v>148</v>
      </c>
      <c r="M364" s="4">
        <v>68</v>
      </c>
      <c r="N364" s="4">
        <v>101</v>
      </c>
      <c r="O364" s="4">
        <v>54</v>
      </c>
      <c r="P364" s="4">
        <v>43.024396811032197</v>
      </c>
      <c r="Q364" s="4">
        <v>64.768722090160097</v>
      </c>
      <c r="R364" s="4">
        <v>64</v>
      </c>
      <c r="S364" s="7" t="s">
        <v>32</v>
      </c>
      <c r="T364" s="4">
        <v>354712</v>
      </c>
      <c r="U364" s="4">
        <v>579131</v>
      </c>
      <c r="V364" s="4">
        <v>3995</v>
      </c>
      <c r="W364" s="4">
        <v>122400</v>
      </c>
      <c r="X364" s="4">
        <v>199131</v>
      </c>
      <c r="Y364" s="4">
        <v>380000</v>
      </c>
      <c r="Z364" s="4">
        <v>120000</v>
      </c>
      <c r="AA364" s="4">
        <v>2400</v>
      </c>
      <c r="AB364" s="4">
        <v>104076</v>
      </c>
      <c r="AC364" s="4">
        <v>983593</v>
      </c>
      <c r="AD364" s="4">
        <v>1660</v>
      </c>
      <c r="AE364" s="4">
        <v>15566</v>
      </c>
      <c r="AF364" s="4">
        <v>1104895</v>
      </c>
      <c r="AG364" s="6">
        <v>11051</v>
      </c>
      <c r="AH364" s="6">
        <v>10856</v>
      </c>
      <c r="AI364" s="6">
        <v>195</v>
      </c>
      <c r="AJ364" s="6">
        <v>14858</v>
      </c>
      <c r="AK364" s="6">
        <v>32</v>
      </c>
      <c r="AL364" s="4">
        <v>230</v>
      </c>
      <c r="AM364" s="4">
        <v>1261</v>
      </c>
      <c r="AN364" s="4">
        <v>208</v>
      </c>
      <c r="AO364" s="6">
        <v>430399</v>
      </c>
      <c r="AP364" s="6">
        <v>195565</v>
      </c>
      <c r="AQ364" s="6">
        <v>234834</v>
      </c>
      <c r="AS364" s="6">
        <v>73.400000000000006</v>
      </c>
      <c r="AT364" s="6">
        <v>53.3</v>
      </c>
      <c r="AV364" s="4">
        <v>13</v>
      </c>
      <c r="AW364" s="4">
        <v>16</v>
      </c>
    </row>
    <row r="365" spans="1:49" x14ac:dyDescent="0.2">
      <c r="A365" s="1">
        <v>44362</v>
      </c>
      <c r="B365">
        <f t="shared" si="50"/>
        <v>0.35</v>
      </c>
      <c r="C365" s="1" t="s">
        <v>57</v>
      </c>
      <c r="D365" s="1" t="s">
        <v>62</v>
      </c>
      <c r="E365" s="1" t="s">
        <v>65</v>
      </c>
      <c r="F365" s="1" t="s">
        <v>48</v>
      </c>
      <c r="G365">
        <v>1877</v>
      </c>
      <c r="H365" s="4">
        <v>60.08</v>
      </c>
      <c r="I365" s="4">
        <v>112</v>
      </c>
      <c r="J365" s="4">
        <v>60</v>
      </c>
      <c r="K365" s="4">
        <v>103.74</v>
      </c>
      <c r="L365" s="4">
        <v>146</v>
      </c>
      <c r="M365" s="4">
        <v>69</v>
      </c>
      <c r="N365" s="4">
        <v>103</v>
      </c>
      <c r="O365" s="4">
        <v>54</v>
      </c>
      <c r="P365" s="4">
        <v>42.205135683090901</v>
      </c>
      <c r="Q365" s="4">
        <v>64.908046065554203</v>
      </c>
      <c r="R365" s="4">
        <v>63</v>
      </c>
      <c r="S365" s="7" t="s">
        <v>32</v>
      </c>
      <c r="T365" s="4">
        <v>333457</v>
      </c>
      <c r="U365" s="4">
        <v>579131</v>
      </c>
      <c r="V365" s="4">
        <v>2414</v>
      </c>
      <c r="W365" s="4">
        <v>122400</v>
      </c>
      <c r="X365" s="4">
        <v>199131</v>
      </c>
      <c r="Y365" s="4">
        <v>380000</v>
      </c>
      <c r="Z365" s="4">
        <v>120000</v>
      </c>
      <c r="AA365" s="4">
        <v>2400</v>
      </c>
      <c r="AB365" s="4">
        <v>112504</v>
      </c>
      <c r="AC365" s="4">
        <v>653345</v>
      </c>
      <c r="AD365" s="4">
        <v>1707</v>
      </c>
      <c r="AE365" s="4">
        <v>10977</v>
      </c>
      <c r="AF365" s="4">
        <v>778533</v>
      </c>
      <c r="AG365" s="6">
        <v>10796</v>
      </c>
      <c r="AH365" s="6">
        <v>10561</v>
      </c>
      <c r="AI365" s="6">
        <v>235</v>
      </c>
      <c r="AL365" s="4">
        <v>230</v>
      </c>
      <c r="AM365" s="4">
        <v>1236</v>
      </c>
      <c r="AN365" s="4">
        <v>206</v>
      </c>
      <c r="AO365" s="6">
        <v>420699</v>
      </c>
      <c r="AP365" s="6">
        <v>190033</v>
      </c>
      <c r="AQ365" s="6">
        <v>230666</v>
      </c>
      <c r="AS365" s="6">
        <v>73.099999999999994</v>
      </c>
      <c r="AT365" s="6">
        <v>52.9</v>
      </c>
      <c r="AV365" s="4">
        <v>21</v>
      </c>
      <c r="AW365" s="4">
        <v>21</v>
      </c>
    </row>
    <row r="366" spans="1:49" x14ac:dyDescent="0.2">
      <c r="A366" s="1">
        <v>44361</v>
      </c>
      <c r="B366">
        <f t="shared" si="50"/>
        <v>0.35</v>
      </c>
      <c r="C366" s="1" t="s">
        <v>57</v>
      </c>
      <c r="D366" s="1" t="s">
        <v>62</v>
      </c>
      <c r="E366" s="1" t="s">
        <v>65</v>
      </c>
      <c r="F366" s="1" t="s">
        <v>48</v>
      </c>
      <c r="G366">
        <v>1863</v>
      </c>
      <c r="H366" s="4">
        <v>49.88</v>
      </c>
      <c r="I366" s="4">
        <v>112</v>
      </c>
      <c r="J366" s="4">
        <v>59</v>
      </c>
      <c r="K366" s="4">
        <v>96.49</v>
      </c>
      <c r="L366" s="4">
        <v>160</v>
      </c>
      <c r="M366" s="4">
        <v>70</v>
      </c>
      <c r="N366" s="4">
        <v>104</v>
      </c>
      <c r="O366" s="4">
        <v>54</v>
      </c>
      <c r="P366" s="4">
        <v>40.666000759346602</v>
      </c>
      <c r="Q366" s="4">
        <v>63.896439332391502</v>
      </c>
      <c r="R366" s="4">
        <v>62</v>
      </c>
      <c r="S366" s="7" t="s">
        <v>32</v>
      </c>
      <c r="T366" s="4">
        <v>185422</v>
      </c>
      <c r="U366" s="4">
        <v>579462</v>
      </c>
      <c r="V366" s="4">
        <v>1289</v>
      </c>
      <c r="W366" s="4">
        <v>122400</v>
      </c>
      <c r="X366" s="4">
        <v>199462</v>
      </c>
      <c r="Y366" s="4">
        <v>380000</v>
      </c>
      <c r="Z366" s="4">
        <v>120000</v>
      </c>
      <c r="AA366" s="4">
        <v>2400</v>
      </c>
      <c r="AB366" s="4">
        <v>88429</v>
      </c>
      <c r="AC366" s="4">
        <v>848055</v>
      </c>
      <c r="AD366" s="4">
        <v>792</v>
      </c>
      <c r="AE366" s="4">
        <v>8141</v>
      </c>
      <c r="AF366" s="4">
        <v>945417</v>
      </c>
      <c r="AG366" s="6">
        <v>10362</v>
      </c>
      <c r="AH366" s="6">
        <v>10171</v>
      </c>
      <c r="AI366" s="6">
        <v>191</v>
      </c>
      <c r="AL366" s="4">
        <v>227</v>
      </c>
      <c r="AM366" s="4">
        <v>1185</v>
      </c>
      <c r="AN366" s="4">
        <v>188</v>
      </c>
      <c r="AO366" s="6">
        <v>368555</v>
      </c>
      <c r="AP366" s="6">
        <v>132627</v>
      </c>
      <c r="AQ366" s="6">
        <v>235928</v>
      </c>
      <c r="AS366" s="6">
        <v>72.7</v>
      </c>
      <c r="AT366" s="6">
        <v>52.5</v>
      </c>
      <c r="AV366" s="4">
        <v>10</v>
      </c>
      <c r="AW366" s="4">
        <v>13</v>
      </c>
    </row>
    <row r="367" spans="1:49" x14ac:dyDescent="0.2">
      <c r="A367" s="1">
        <v>44360</v>
      </c>
      <c r="B367">
        <v>1.84</v>
      </c>
      <c r="C367" s="1" t="s">
        <v>57</v>
      </c>
      <c r="D367" s="1" t="s">
        <v>62</v>
      </c>
      <c r="E367" s="1" t="s">
        <v>65</v>
      </c>
      <c r="F367" s="1" t="s">
        <v>48</v>
      </c>
      <c r="G367">
        <v>1835</v>
      </c>
      <c r="H367" s="4">
        <v>64.33</v>
      </c>
      <c r="I367" s="4">
        <v>100</v>
      </c>
      <c r="J367" s="4">
        <v>91</v>
      </c>
      <c r="K367" s="4">
        <v>103.51</v>
      </c>
      <c r="L367" s="4">
        <v>159</v>
      </c>
      <c r="M367" s="4">
        <v>67</v>
      </c>
      <c r="N367" s="4">
        <v>95</v>
      </c>
      <c r="O367" s="4">
        <v>66</v>
      </c>
      <c r="P367" s="4">
        <v>60.857633402420099</v>
      </c>
      <c r="Q367" s="4">
        <v>76.951245927978704</v>
      </c>
      <c r="R367" s="4">
        <v>76</v>
      </c>
      <c r="S367" s="7" t="s">
        <v>32</v>
      </c>
      <c r="T367" s="4">
        <v>233209</v>
      </c>
      <c r="U367" s="4">
        <v>579462</v>
      </c>
      <c r="V367" s="4">
        <v>435</v>
      </c>
      <c r="W367" s="4">
        <v>122400</v>
      </c>
      <c r="X367" s="4">
        <v>199462</v>
      </c>
      <c r="Y367" s="4">
        <v>380000</v>
      </c>
      <c r="Z367" s="4">
        <v>120000</v>
      </c>
      <c r="AA367" s="4">
        <v>2400</v>
      </c>
      <c r="AB367" s="4">
        <v>68775</v>
      </c>
      <c r="AC367" s="4">
        <v>969663</v>
      </c>
      <c r="AD367" s="4">
        <v>435</v>
      </c>
      <c r="AE367" s="4">
        <v>12974</v>
      </c>
      <c r="AF367" s="4">
        <v>1051847</v>
      </c>
      <c r="AG367" s="6">
        <v>7135</v>
      </c>
      <c r="AH367" s="6">
        <v>7009</v>
      </c>
      <c r="AI367" s="6">
        <v>126</v>
      </c>
      <c r="AL367" s="4">
        <v>223</v>
      </c>
      <c r="AM367" s="4">
        <v>1144</v>
      </c>
      <c r="AN367" s="4">
        <v>188</v>
      </c>
      <c r="AO367" s="6">
        <v>328349</v>
      </c>
      <c r="AP367" s="6">
        <v>147228</v>
      </c>
      <c r="AQ367" s="6">
        <v>181121</v>
      </c>
      <c r="AS367" s="6">
        <v>72.5</v>
      </c>
      <c r="AT367" s="6">
        <v>52.1</v>
      </c>
      <c r="AV367" s="4">
        <v>10</v>
      </c>
      <c r="AW367" s="4">
        <v>12</v>
      </c>
    </row>
    <row r="368" spans="1:49" x14ac:dyDescent="0.2">
      <c r="A368" s="1">
        <v>44359</v>
      </c>
      <c r="B368">
        <f>B367</f>
        <v>1.84</v>
      </c>
      <c r="C368" s="1" t="s">
        <v>57</v>
      </c>
      <c r="D368" s="1" t="s">
        <v>62</v>
      </c>
      <c r="E368" s="1" t="s">
        <v>65</v>
      </c>
      <c r="F368" s="1" t="s">
        <v>48</v>
      </c>
      <c r="G368">
        <v>1824</v>
      </c>
      <c r="H368" s="4">
        <v>95.55</v>
      </c>
      <c r="I368" s="4">
        <v>101</v>
      </c>
      <c r="J368" s="4">
        <v>90</v>
      </c>
      <c r="K368" s="4">
        <v>150.08000000000001</v>
      </c>
      <c r="L368" s="4">
        <v>139</v>
      </c>
      <c r="M368" s="4">
        <v>66</v>
      </c>
      <c r="N368" s="4">
        <v>100</v>
      </c>
      <c r="O368" s="4">
        <v>66</v>
      </c>
      <c r="P368" s="4">
        <v>54.536030170808402</v>
      </c>
      <c r="Q368" s="4">
        <v>71.534021466151103</v>
      </c>
      <c r="R368" s="4">
        <v>76</v>
      </c>
      <c r="S368" s="7" t="s">
        <v>32</v>
      </c>
      <c r="T368" s="4">
        <v>279196</v>
      </c>
      <c r="U368" s="4">
        <v>583462</v>
      </c>
      <c r="V368" s="4">
        <v>273</v>
      </c>
      <c r="W368" s="4">
        <v>122400</v>
      </c>
      <c r="X368" s="4">
        <v>199462</v>
      </c>
      <c r="Y368" s="4">
        <v>384000</v>
      </c>
      <c r="Z368" s="4">
        <v>120000</v>
      </c>
      <c r="AA368" s="4">
        <v>2400</v>
      </c>
      <c r="AB368" s="4">
        <v>70094</v>
      </c>
      <c r="AC368" s="4">
        <v>438001</v>
      </c>
      <c r="AD368" s="4">
        <v>273</v>
      </c>
      <c r="AE368" s="4">
        <v>17195</v>
      </c>
      <c r="AF368" s="4">
        <v>525563</v>
      </c>
      <c r="AG368" s="6">
        <v>6284</v>
      </c>
      <c r="AH368" s="6">
        <v>6163</v>
      </c>
      <c r="AI368" s="6">
        <v>121</v>
      </c>
      <c r="AL368" s="4">
        <v>178</v>
      </c>
      <c r="AM368" s="4">
        <v>1109</v>
      </c>
      <c r="AN368" s="4">
        <v>169</v>
      </c>
      <c r="AO368" s="6">
        <v>574511</v>
      </c>
      <c r="AP368" s="6">
        <v>254185</v>
      </c>
      <c r="AQ368" s="6">
        <v>320326</v>
      </c>
      <c r="AS368" s="6">
        <v>72.3</v>
      </c>
      <c r="AT368" s="6">
        <v>51.8</v>
      </c>
      <c r="AV368" s="4">
        <v>14</v>
      </c>
      <c r="AW368" s="4">
        <v>12</v>
      </c>
    </row>
    <row r="369" spans="1:49" x14ac:dyDescent="0.2">
      <c r="A369" s="1">
        <v>44358</v>
      </c>
      <c r="B369">
        <f t="shared" ref="B369:B373" si="51">B368</f>
        <v>1.84</v>
      </c>
      <c r="C369" s="1" t="s">
        <v>57</v>
      </c>
      <c r="D369" s="1" t="s">
        <v>62</v>
      </c>
      <c r="E369" s="1" t="s">
        <v>65</v>
      </c>
      <c r="F369" s="1" t="s">
        <v>48</v>
      </c>
      <c r="G369">
        <v>1819</v>
      </c>
      <c r="H369" s="4">
        <v>82.37</v>
      </c>
      <c r="I369" s="4">
        <v>111</v>
      </c>
      <c r="J369" s="4">
        <v>63</v>
      </c>
      <c r="K369" s="4">
        <v>123.29</v>
      </c>
      <c r="L369" s="4">
        <v>134</v>
      </c>
      <c r="M369" s="4">
        <v>68</v>
      </c>
      <c r="N369" s="4">
        <v>104</v>
      </c>
      <c r="O369" s="4">
        <v>58</v>
      </c>
      <c r="P369" s="4">
        <v>43.8991904018173</v>
      </c>
      <c r="Q369" s="4">
        <v>66.129524396373199</v>
      </c>
      <c r="R369" s="4">
        <v>70</v>
      </c>
      <c r="S369" s="7" t="s">
        <v>32</v>
      </c>
      <c r="T369" s="4">
        <v>318590</v>
      </c>
      <c r="U369" s="4">
        <v>573462</v>
      </c>
      <c r="V369" s="4">
        <v>2688</v>
      </c>
      <c r="W369" s="4">
        <v>122400</v>
      </c>
      <c r="X369" s="4">
        <v>199462</v>
      </c>
      <c r="Y369" s="4">
        <v>374000</v>
      </c>
      <c r="Z369" s="4">
        <v>120000</v>
      </c>
      <c r="AA369" s="4">
        <v>2400</v>
      </c>
      <c r="AB369" s="4">
        <v>82766</v>
      </c>
      <c r="AC369" s="4">
        <v>642071</v>
      </c>
      <c r="AD369" s="4">
        <v>1562</v>
      </c>
      <c r="AE369" s="4">
        <v>10956</v>
      </c>
      <c r="AF369" s="4">
        <v>737355</v>
      </c>
      <c r="AG369" s="6">
        <v>7619</v>
      </c>
      <c r="AH369" s="6">
        <v>7466</v>
      </c>
      <c r="AI369" s="6">
        <v>153</v>
      </c>
      <c r="AL369" s="4">
        <v>180</v>
      </c>
      <c r="AM369" s="4">
        <v>1080</v>
      </c>
      <c r="AN369" s="4">
        <v>161</v>
      </c>
      <c r="AO369" s="6">
        <v>515723</v>
      </c>
      <c r="AP369" s="6">
        <v>208531</v>
      </c>
      <c r="AQ369" s="6">
        <v>307192</v>
      </c>
      <c r="AS369" s="6">
        <v>71.8</v>
      </c>
      <c r="AT369" s="6">
        <v>51.2</v>
      </c>
      <c r="AV369" s="4">
        <v>6</v>
      </c>
      <c r="AW369" s="4">
        <v>13</v>
      </c>
    </row>
    <row r="370" spans="1:49" x14ac:dyDescent="0.2">
      <c r="A370" s="1">
        <v>44357</v>
      </c>
      <c r="B370">
        <f t="shared" si="51"/>
        <v>1.84</v>
      </c>
      <c r="C370" s="1" t="s">
        <v>57</v>
      </c>
      <c r="D370" s="1" t="s">
        <v>62</v>
      </c>
      <c r="E370" s="1" t="s">
        <v>65</v>
      </c>
      <c r="F370" s="1" t="s">
        <v>48</v>
      </c>
      <c r="G370">
        <v>1835</v>
      </c>
      <c r="H370" s="4">
        <v>74.069999999999993</v>
      </c>
      <c r="I370" s="4">
        <v>112</v>
      </c>
      <c r="J370" s="4">
        <v>61</v>
      </c>
      <c r="K370" s="4">
        <v>108.8</v>
      </c>
      <c r="L370" s="4">
        <v>145</v>
      </c>
      <c r="M370" s="4">
        <v>70</v>
      </c>
      <c r="N370" s="4">
        <v>104</v>
      </c>
      <c r="O370" s="4">
        <v>55</v>
      </c>
      <c r="P370" s="4">
        <v>43.763839036825097</v>
      </c>
      <c r="Q370" s="4">
        <v>64.350180117736301</v>
      </c>
      <c r="R370" s="4">
        <v>64</v>
      </c>
      <c r="S370" s="7" t="s">
        <v>32</v>
      </c>
      <c r="T370" s="4">
        <v>335695</v>
      </c>
      <c r="U370" s="4">
        <v>573459</v>
      </c>
      <c r="V370" s="4">
        <v>3426</v>
      </c>
      <c r="W370" s="4">
        <v>122400</v>
      </c>
      <c r="X370" s="4">
        <v>199459</v>
      </c>
      <c r="Y370" s="4">
        <v>374000</v>
      </c>
      <c r="Z370" s="4">
        <v>120000</v>
      </c>
      <c r="AA370" s="4">
        <v>2400</v>
      </c>
      <c r="AB370" s="4">
        <v>83936</v>
      </c>
      <c r="AC370" s="4">
        <v>843938</v>
      </c>
      <c r="AD370" s="4">
        <v>1725</v>
      </c>
      <c r="AE370" s="4">
        <v>17852</v>
      </c>
      <c r="AF370" s="4">
        <v>947451</v>
      </c>
      <c r="AG370" s="6">
        <v>8042</v>
      </c>
      <c r="AH370" s="6">
        <v>7881</v>
      </c>
      <c r="AI370" s="6">
        <v>161</v>
      </c>
      <c r="AL370" s="4">
        <v>201</v>
      </c>
      <c r="AM370" s="4">
        <v>1098</v>
      </c>
      <c r="AN370" s="4">
        <v>158</v>
      </c>
      <c r="AO370" s="6">
        <v>509645</v>
      </c>
      <c r="AP370" s="6">
        <v>201607</v>
      </c>
      <c r="AQ370" s="6">
        <v>308038</v>
      </c>
      <c r="AS370" s="6">
        <v>71.400000000000006</v>
      </c>
      <c r="AT370" s="6">
        <v>50.7</v>
      </c>
      <c r="AV370" s="4">
        <v>11</v>
      </c>
      <c r="AW370" s="4">
        <v>16</v>
      </c>
    </row>
    <row r="371" spans="1:49" x14ac:dyDescent="0.2">
      <c r="A371" s="1">
        <v>44356</v>
      </c>
      <c r="B371">
        <f t="shared" si="51"/>
        <v>1.84</v>
      </c>
      <c r="C371" s="1" t="s">
        <v>57</v>
      </c>
      <c r="D371" s="1" t="s">
        <v>62</v>
      </c>
      <c r="E371" s="1" t="s">
        <v>65</v>
      </c>
      <c r="F371" s="1" t="s">
        <v>48</v>
      </c>
      <c r="G371">
        <v>1878</v>
      </c>
      <c r="H371" s="4">
        <v>69.97</v>
      </c>
      <c r="I371" s="4">
        <v>112</v>
      </c>
      <c r="J371" s="4">
        <v>60</v>
      </c>
      <c r="K371" s="4">
        <v>108.97</v>
      </c>
      <c r="L371" s="4">
        <v>163</v>
      </c>
      <c r="M371" s="4">
        <v>70</v>
      </c>
      <c r="N371" s="4">
        <v>104</v>
      </c>
      <c r="O371" s="4">
        <v>55</v>
      </c>
      <c r="P371" s="4">
        <v>42.946135438920599</v>
      </c>
      <c r="Q371" s="4">
        <v>64.480886452471196</v>
      </c>
      <c r="R371" s="4">
        <v>63</v>
      </c>
      <c r="S371" s="7" t="s">
        <v>32</v>
      </c>
      <c r="T371" s="4">
        <v>334008</v>
      </c>
      <c r="U371" s="4">
        <v>573488</v>
      </c>
      <c r="V371" s="4">
        <v>2716</v>
      </c>
      <c r="W371" s="4">
        <v>122400</v>
      </c>
      <c r="X371" s="4">
        <v>199459</v>
      </c>
      <c r="Y371" s="4">
        <v>369000</v>
      </c>
      <c r="Z371" s="4">
        <v>120000</v>
      </c>
      <c r="AA371" s="4">
        <v>7429</v>
      </c>
      <c r="AB371" s="4">
        <v>97952</v>
      </c>
      <c r="AC371" s="4">
        <v>965526</v>
      </c>
      <c r="AD371" s="4">
        <v>1785</v>
      </c>
      <c r="AE371" s="4">
        <v>22551</v>
      </c>
      <c r="AF371" s="4">
        <v>1087814</v>
      </c>
      <c r="AG371" s="6">
        <v>8210</v>
      </c>
      <c r="AH371" s="6">
        <v>8071</v>
      </c>
      <c r="AI371" s="6">
        <v>139</v>
      </c>
      <c r="AL371" s="4">
        <v>191</v>
      </c>
      <c r="AM371" s="4">
        <v>1067</v>
      </c>
      <c r="AN371" s="4">
        <v>159</v>
      </c>
      <c r="AO371" s="6">
        <v>492817</v>
      </c>
      <c r="AP371" s="6">
        <v>176559</v>
      </c>
      <c r="AQ371" s="6">
        <v>316258</v>
      </c>
      <c r="AS371" s="6">
        <v>71.099999999999994</v>
      </c>
      <c r="AT371" s="6">
        <v>50.2</v>
      </c>
      <c r="AV371" s="4">
        <v>9</v>
      </c>
      <c r="AW371" s="4">
        <v>17</v>
      </c>
    </row>
    <row r="372" spans="1:49" x14ac:dyDescent="0.2">
      <c r="A372" s="1">
        <v>44355</v>
      </c>
      <c r="B372">
        <f t="shared" si="51"/>
        <v>1.84</v>
      </c>
      <c r="C372" s="1" t="s">
        <v>57</v>
      </c>
      <c r="D372" s="1" t="s">
        <v>62</v>
      </c>
      <c r="E372" s="1" t="s">
        <v>65</v>
      </c>
      <c r="F372" s="1" t="s">
        <v>48</v>
      </c>
      <c r="G372">
        <v>1928</v>
      </c>
      <c r="H372" s="4">
        <v>62.82</v>
      </c>
      <c r="I372" s="4">
        <v>112</v>
      </c>
      <c r="J372" s="4">
        <v>59</v>
      </c>
      <c r="K372" s="4">
        <v>104.24</v>
      </c>
      <c r="L372" s="4">
        <v>160</v>
      </c>
      <c r="M372" s="4">
        <v>70</v>
      </c>
      <c r="N372" s="4">
        <v>103</v>
      </c>
      <c r="O372" s="4">
        <v>54</v>
      </c>
      <c r="P372" s="4">
        <v>42.027938567522803</v>
      </c>
      <c r="Q372" s="4">
        <v>64.443414511349005</v>
      </c>
      <c r="R372" s="4">
        <v>62</v>
      </c>
      <c r="S372" s="7" t="s">
        <v>32</v>
      </c>
      <c r="T372" s="4">
        <v>322281</v>
      </c>
      <c r="U372" s="4">
        <v>571766</v>
      </c>
      <c r="V372" s="4">
        <v>3959</v>
      </c>
      <c r="W372" s="4">
        <v>122400</v>
      </c>
      <c r="X372" s="4">
        <v>199459</v>
      </c>
      <c r="Y372" s="4">
        <v>369000</v>
      </c>
      <c r="Z372" s="4">
        <v>120000</v>
      </c>
      <c r="AA372" s="4">
        <v>5707</v>
      </c>
      <c r="AB372" s="4">
        <v>105734</v>
      </c>
      <c r="AC372" s="4">
        <v>606475</v>
      </c>
      <c r="AD372" s="4">
        <v>1729</v>
      </c>
      <c r="AE372" s="4">
        <v>13852</v>
      </c>
      <c r="AF372" s="4">
        <v>727790</v>
      </c>
      <c r="AG372" s="6">
        <v>7896</v>
      </c>
      <c r="AH372" s="6">
        <v>7720</v>
      </c>
      <c r="AI372" s="6">
        <v>176</v>
      </c>
      <c r="AL372" s="4">
        <v>189</v>
      </c>
      <c r="AM372" s="4">
        <v>1060</v>
      </c>
      <c r="AN372" s="4">
        <v>154</v>
      </c>
      <c r="AO372" s="6">
        <v>450284</v>
      </c>
      <c r="AP372" s="6">
        <v>136802</v>
      </c>
      <c r="AQ372" s="6">
        <v>313482</v>
      </c>
      <c r="AS372" s="6">
        <v>70.8</v>
      </c>
      <c r="AT372" s="6">
        <v>49.6</v>
      </c>
      <c r="AV372" s="4">
        <v>10</v>
      </c>
      <c r="AW372" s="4">
        <v>15</v>
      </c>
    </row>
    <row r="373" spans="1:49" x14ac:dyDescent="0.2">
      <c r="A373" s="1">
        <v>44354</v>
      </c>
      <c r="B373">
        <f t="shared" si="51"/>
        <v>1.84</v>
      </c>
      <c r="C373" s="1" t="s">
        <v>57</v>
      </c>
      <c r="D373" s="1" t="s">
        <v>62</v>
      </c>
      <c r="E373" s="1" t="s">
        <v>65</v>
      </c>
      <c r="F373" s="1" t="s">
        <v>48</v>
      </c>
      <c r="G373">
        <v>1946</v>
      </c>
      <c r="H373" s="4">
        <v>57.31</v>
      </c>
      <c r="I373" s="4">
        <v>112</v>
      </c>
      <c r="J373" s="4">
        <v>58</v>
      </c>
      <c r="K373" s="4">
        <v>96.8</v>
      </c>
      <c r="L373" s="4">
        <v>165</v>
      </c>
      <c r="M373" s="4">
        <v>72</v>
      </c>
      <c r="N373" s="4">
        <v>104</v>
      </c>
      <c r="O373" s="4">
        <v>54</v>
      </c>
      <c r="P373" s="4">
        <v>40.455002757003001</v>
      </c>
      <c r="Q373" s="4">
        <v>62.504625842666698</v>
      </c>
      <c r="R373" s="4">
        <v>59</v>
      </c>
      <c r="S373" s="7" t="s">
        <v>32</v>
      </c>
      <c r="T373" s="4">
        <v>215642</v>
      </c>
      <c r="U373" s="4">
        <v>591778</v>
      </c>
      <c r="V373" s="4">
        <v>2340</v>
      </c>
      <c r="W373" s="4">
        <v>122400</v>
      </c>
      <c r="X373" s="4">
        <v>203538</v>
      </c>
      <c r="Y373" s="4">
        <v>384000</v>
      </c>
      <c r="Z373" s="4">
        <v>120000</v>
      </c>
      <c r="AA373" s="4">
        <v>6640</v>
      </c>
      <c r="AB373" s="4">
        <v>92011</v>
      </c>
      <c r="AC373" s="4">
        <v>840503</v>
      </c>
      <c r="AD373" s="4">
        <v>1706</v>
      </c>
      <c r="AE373" s="4">
        <v>13655</v>
      </c>
      <c r="AF373" s="4">
        <v>947875</v>
      </c>
      <c r="AG373" s="6">
        <v>7945</v>
      </c>
      <c r="AH373" s="6">
        <v>7789</v>
      </c>
      <c r="AI373" s="6">
        <v>156</v>
      </c>
      <c r="AL373" s="4">
        <v>177</v>
      </c>
      <c r="AM373" s="4">
        <v>1038</v>
      </c>
      <c r="AN373" s="4">
        <v>148</v>
      </c>
      <c r="AO373" s="6">
        <v>419009</v>
      </c>
      <c r="AP373" s="6">
        <v>112941</v>
      </c>
      <c r="AQ373" s="6">
        <v>306068</v>
      </c>
      <c r="AS373" s="6">
        <v>70.599999999999994</v>
      </c>
      <c r="AT373" s="6">
        <v>49.1</v>
      </c>
      <c r="AV373" s="4">
        <v>6</v>
      </c>
      <c r="AW373" s="4">
        <v>6</v>
      </c>
    </row>
    <row r="374" spans="1:49" x14ac:dyDescent="0.2">
      <c r="A374" s="1">
        <v>44353</v>
      </c>
      <c r="B374">
        <v>-4.3899999999999997</v>
      </c>
      <c r="C374" s="1" t="s">
        <v>57</v>
      </c>
      <c r="D374" s="1" t="s">
        <v>62</v>
      </c>
      <c r="E374" s="1" t="s">
        <v>65</v>
      </c>
      <c r="F374" s="1" t="s">
        <v>48</v>
      </c>
      <c r="G374">
        <v>1960</v>
      </c>
      <c r="H374" s="4">
        <v>87.75</v>
      </c>
      <c r="I374" s="4">
        <v>102</v>
      </c>
      <c r="J374" s="4">
        <v>91</v>
      </c>
      <c r="K374" s="4">
        <v>97.28</v>
      </c>
      <c r="L374" s="4">
        <v>138</v>
      </c>
      <c r="M374" s="4">
        <v>69</v>
      </c>
      <c r="N374" s="4">
        <v>93</v>
      </c>
      <c r="O374" s="4">
        <v>62</v>
      </c>
      <c r="P374" s="4">
        <v>53.006860793608404</v>
      </c>
      <c r="Q374" s="4">
        <v>72.668504181985199</v>
      </c>
      <c r="R374" s="4">
        <v>69</v>
      </c>
      <c r="S374" s="7" t="s">
        <v>32</v>
      </c>
      <c r="T374" s="4">
        <v>217947</v>
      </c>
      <c r="U374" s="4">
        <v>569060</v>
      </c>
      <c r="V374" s="4">
        <v>357</v>
      </c>
      <c r="W374" s="4">
        <v>122400</v>
      </c>
      <c r="X374" s="4">
        <v>203538</v>
      </c>
      <c r="Y374" s="4">
        <v>360000</v>
      </c>
      <c r="Z374" s="4">
        <v>120000</v>
      </c>
      <c r="AA374" s="4">
        <v>7922</v>
      </c>
      <c r="AB374" s="4">
        <v>72982</v>
      </c>
      <c r="AC374" s="4">
        <v>1151061</v>
      </c>
      <c r="AD374" s="4">
        <v>357</v>
      </c>
      <c r="AE374" s="4">
        <v>16814</v>
      </c>
      <c r="AF374" s="4">
        <v>1241214</v>
      </c>
      <c r="AG374" s="6">
        <v>5533</v>
      </c>
      <c r="AH374" s="6">
        <v>5432</v>
      </c>
      <c r="AI374" s="6">
        <v>101</v>
      </c>
      <c r="AL374" s="4">
        <v>156</v>
      </c>
      <c r="AM374" s="4">
        <v>967</v>
      </c>
      <c r="AN374" s="4">
        <v>145</v>
      </c>
      <c r="AO374" s="6">
        <v>387286</v>
      </c>
      <c r="AP374" s="6">
        <v>127345</v>
      </c>
      <c r="AQ374" s="6">
        <v>259941</v>
      </c>
      <c r="AS374" s="6">
        <v>70.400000000000006</v>
      </c>
      <c r="AT374" s="6">
        <v>48.6</v>
      </c>
      <c r="AV374" s="4">
        <v>8</v>
      </c>
      <c r="AW374" s="4">
        <v>13</v>
      </c>
    </row>
    <row r="375" spans="1:49" x14ac:dyDescent="0.2">
      <c r="A375" s="1">
        <v>44352</v>
      </c>
      <c r="B375">
        <f>B374</f>
        <v>-4.3899999999999997</v>
      </c>
      <c r="C375" s="1" t="s">
        <v>57</v>
      </c>
      <c r="D375" s="1" t="s">
        <v>62</v>
      </c>
      <c r="E375" s="1" t="s">
        <v>65</v>
      </c>
      <c r="F375" s="1" t="s">
        <v>48</v>
      </c>
      <c r="G375">
        <v>1966</v>
      </c>
      <c r="H375" s="4">
        <v>101.07</v>
      </c>
      <c r="I375" s="4">
        <v>101</v>
      </c>
      <c r="J375" s="4">
        <v>89</v>
      </c>
      <c r="K375" s="4">
        <v>155.6</v>
      </c>
      <c r="L375" s="4">
        <v>141</v>
      </c>
      <c r="M375" s="4">
        <v>67</v>
      </c>
      <c r="N375" s="4">
        <v>99</v>
      </c>
      <c r="O375" s="4">
        <v>66</v>
      </c>
      <c r="P375" s="4">
        <v>52.214262915448998</v>
      </c>
      <c r="Q375" s="4">
        <v>70.615882093756397</v>
      </c>
      <c r="R375" s="4">
        <v>74</v>
      </c>
      <c r="S375" s="7" t="s">
        <v>32</v>
      </c>
      <c r="T375" s="4">
        <v>252659</v>
      </c>
      <c r="U375" s="4">
        <v>577334</v>
      </c>
      <c r="V375" s="4">
        <v>595</v>
      </c>
      <c r="W375" s="4">
        <v>122400</v>
      </c>
      <c r="X375" s="4">
        <v>203538</v>
      </c>
      <c r="Y375" s="4">
        <v>367400</v>
      </c>
      <c r="Z375" s="4">
        <v>120000</v>
      </c>
      <c r="AA375" s="4">
        <v>8796</v>
      </c>
      <c r="AB375" s="4">
        <v>70606</v>
      </c>
      <c r="AC375" s="4">
        <v>391525</v>
      </c>
      <c r="AD375" s="4">
        <v>595</v>
      </c>
      <c r="AE375" s="4">
        <v>20178</v>
      </c>
      <c r="AF375" s="4">
        <v>482904</v>
      </c>
      <c r="AG375" s="6">
        <v>4731</v>
      </c>
      <c r="AH375" s="6">
        <v>4661</v>
      </c>
      <c r="AI375" s="6">
        <v>70</v>
      </c>
      <c r="AL375" s="4">
        <v>128</v>
      </c>
      <c r="AM375" s="4">
        <v>941</v>
      </c>
      <c r="AN375" s="4">
        <v>135</v>
      </c>
      <c r="AO375" s="6">
        <v>676991</v>
      </c>
      <c r="AP375" s="6">
        <v>203613</v>
      </c>
      <c r="AQ375" s="6">
        <v>473378</v>
      </c>
      <c r="AS375" s="6">
        <v>70.099999999999994</v>
      </c>
      <c r="AT375" s="6">
        <v>48.1</v>
      </c>
      <c r="AV375" s="4">
        <v>7</v>
      </c>
      <c r="AW375" s="4">
        <v>7</v>
      </c>
    </row>
    <row r="376" spans="1:49" x14ac:dyDescent="0.2">
      <c r="A376" s="1">
        <v>44351</v>
      </c>
      <c r="B376">
        <f t="shared" ref="B376:B380" si="52">B375</f>
        <v>-4.3899999999999997</v>
      </c>
      <c r="C376" s="1" t="s">
        <v>57</v>
      </c>
      <c r="D376" s="1" t="s">
        <v>62</v>
      </c>
      <c r="E376" s="1" t="s">
        <v>65</v>
      </c>
      <c r="F376" s="1" t="s">
        <v>48</v>
      </c>
      <c r="G376">
        <v>1992</v>
      </c>
      <c r="H376" s="4">
        <v>84.9</v>
      </c>
      <c r="I376" s="4">
        <v>114</v>
      </c>
      <c r="J376" s="4">
        <v>51</v>
      </c>
      <c r="K376" s="4">
        <v>113.33</v>
      </c>
      <c r="L376" s="4">
        <v>80</v>
      </c>
      <c r="M376" s="4">
        <v>61</v>
      </c>
      <c r="N376" s="4">
        <v>92</v>
      </c>
      <c r="O376" s="4">
        <v>52</v>
      </c>
      <c r="P376" s="4">
        <v>41.6267834447006</v>
      </c>
      <c r="Q376" s="4">
        <v>53.300724507088702</v>
      </c>
      <c r="R376" s="4">
        <v>64</v>
      </c>
      <c r="S376" s="7" t="s">
        <v>32</v>
      </c>
      <c r="T376" s="4">
        <v>297610</v>
      </c>
      <c r="U376" s="4">
        <v>578618</v>
      </c>
      <c r="V376" s="4">
        <v>3382</v>
      </c>
      <c r="W376" s="4">
        <v>122400</v>
      </c>
      <c r="X376" s="4">
        <v>203538</v>
      </c>
      <c r="Y376" s="4">
        <v>367400</v>
      </c>
      <c r="Z376" s="4">
        <v>120000</v>
      </c>
      <c r="AA376" s="4">
        <v>10080</v>
      </c>
      <c r="AB376" s="4">
        <v>77967</v>
      </c>
      <c r="AC376" s="4">
        <v>571268</v>
      </c>
      <c r="AD376" s="4">
        <v>2386</v>
      </c>
      <c r="AE376" s="4">
        <v>21221</v>
      </c>
      <c r="AF376" s="4">
        <v>672842</v>
      </c>
      <c r="AG376" s="6">
        <v>5860</v>
      </c>
      <c r="AH376" s="6">
        <v>5758</v>
      </c>
      <c r="AI376" s="6">
        <v>102</v>
      </c>
      <c r="AL376" s="4">
        <v>126</v>
      </c>
      <c r="AM376" s="4">
        <v>968</v>
      </c>
      <c r="AN376" s="4">
        <v>130</v>
      </c>
      <c r="AO376" s="6">
        <v>567955</v>
      </c>
      <c r="AP376" s="6">
        <v>179924</v>
      </c>
      <c r="AQ376" s="6">
        <v>388031</v>
      </c>
      <c r="AS376" s="6">
        <v>69.8</v>
      </c>
      <c r="AT376" s="6">
        <v>47.3</v>
      </c>
      <c r="AV376" s="4">
        <v>13</v>
      </c>
      <c r="AW376" s="4">
        <v>14</v>
      </c>
    </row>
    <row r="377" spans="1:49" x14ac:dyDescent="0.2">
      <c r="A377" s="1">
        <v>44350</v>
      </c>
      <c r="B377">
        <f t="shared" si="52"/>
        <v>-4.3899999999999997</v>
      </c>
      <c r="C377" s="1" t="s">
        <v>57</v>
      </c>
      <c r="D377" s="1" t="s">
        <v>62</v>
      </c>
      <c r="E377" s="1" t="s">
        <v>65</v>
      </c>
      <c r="F377" s="1" t="s">
        <v>48</v>
      </c>
      <c r="G377">
        <v>1920</v>
      </c>
      <c r="H377" s="4">
        <v>80.09</v>
      </c>
      <c r="I377" s="4">
        <v>113</v>
      </c>
      <c r="J377" s="4">
        <v>49</v>
      </c>
      <c r="K377" s="4">
        <v>122.45</v>
      </c>
      <c r="L377" s="4">
        <v>164</v>
      </c>
      <c r="M377" s="4">
        <v>72</v>
      </c>
      <c r="N377" s="4">
        <v>102</v>
      </c>
      <c r="O377" s="4">
        <v>52</v>
      </c>
      <c r="P377" s="4">
        <v>42.878818726605502</v>
      </c>
      <c r="Q377" s="4">
        <v>56.012576189063999</v>
      </c>
      <c r="R377" s="4">
        <v>64</v>
      </c>
      <c r="S377" s="7" t="s">
        <v>32</v>
      </c>
      <c r="T377" s="4">
        <v>314670</v>
      </c>
      <c r="U377" s="4">
        <v>578759</v>
      </c>
      <c r="V377" s="4">
        <v>4206</v>
      </c>
      <c r="W377" s="4">
        <v>122400</v>
      </c>
      <c r="X377" s="4">
        <v>203866</v>
      </c>
      <c r="Y377" s="4">
        <v>367400</v>
      </c>
      <c r="Z377" s="4">
        <v>120000</v>
      </c>
      <c r="AA377" s="4">
        <v>9893</v>
      </c>
      <c r="AB377" s="4">
        <v>80254</v>
      </c>
      <c r="AC377" s="4">
        <v>705975</v>
      </c>
      <c r="AD377" s="4">
        <v>2201</v>
      </c>
      <c r="AE377" s="4">
        <v>23430</v>
      </c>
      <c r="AF377" s="4">
        <v>811860</v>
      </c>
      <c r="AG377" s="6">
        <v>6256</v>
      </c>
      <c r="AH377" s="6">
        <v>6129</v>
      </c>
      <c r="AI377" s="6">
        <v>127</v>
      </c>
      <c r="AL377" s="4">
        <v>128</v>
      </c>
      <c r="AM377" s="4">
        <v>941</v>
      </c>
      <c r="AN377" s="4">
        <v>134</v>
      </c>
      <c r="AO377" s="6">
        <v>568907</v>
      </c>
      <c r="AP377" s="6">
        <v>191266</v>
      </c>
      <c r="AQ377" s="6">
        <v>377641</v>
      </c>
      <c r="AS377" s="6">
        <v>69.5</v>
      </c>
      <c r="AT377" s="6">
        <v>46.6</v>
      </c>
      <c r="AV377" s="4">
        <v>12</v>
      </c>
      <c r="AW377" s="4">
        <v>16</v>
      </c>
    </row>
    <row r="378" spans="1:49" x14ac:dyDescent="0.2">
      <c r="A378" s="1">
        <v>44349</v>
      </c>
      <c r="B378">
        <f t="shared" si="52"/>
        <v>-4.3899999999999997</v>
      </c>
      <c r="C378" s="1" t="s">
        <v>57</v>
      </c>
      <c r="D378" s="1" t="s">
        <v>62</v>
      </c>
      <c r="E378" s="1" t="s">
        <v>65</v>
      </c>
      <c r="F378" s="1" t="s">
        <v>48</v>
      </c>
      <c r="G378">
        <v>1859</v>
      </c>
      <c r="H378" s="4">
        <v>80.099999999999994</v>
      </c>
      <c r="I378" s="4">
        <v>113</v>
      </c>
      <c r="J378" s="4">
        <v>49</v>
      </c>
      <c r="K378" s="4">
        <v>118.88</v>
      </c>
      <c r="L378" s="4">
        <v>161</v>
      </c>
      <c r="M378" s="4">
        <v>70</v>
      </c>
      <c r="N378" s="4">
        <v>100</v>
      </c>
      <c r="O378" s="4">
        <v>52</v>
      </c>
      <c r="P378" s="4">
        <v>41.412056315721401</v>
      </c>
      <c r="Q378" s="4">
        <v>55.528594979962598</v>
      </c>
      <c r="R378" s="4">
        <v>62</v>
      </c>
      <c r="S378" s="7" t="s">
        <v>32</v>
      </c>
      <c r="T378" s="4">
        <v>308366</v>
      </c>
      <c r="U378" s="4">
        <v>577638</v>
      </c>
      <c r="V378" s="4">
        <v>3713</v>
      </c>
      <c r="W378" s="4">
        <v>122400</v>
      </c>
      <c r="X378" s="4">
        <v>203866</v>
      </c>
      <c r="Y378" s="4">
        <v>367400</v>
      </c>
      <c r="Z378" s="4">
        <v>120000</v>
      </c>
      <c r="AA378" s="4">
        <v>8772</v>
      </c>
      <c r="AB378" s="4">
        <v>93292</v>
      </c>
      <c r="AC378" s="4">
        <v>738341</v>
      </c>
      <c r="AD378" s="4">
        <v>1856</v>
      </c>
      <c r="AE378" s="4">
        <v>19657</v>
      </c>
      <c r="AF378" s="4">
        <v>853146</v>
      </c>
      <c r="AG378" s="6">
        <v>6168</v>
      </c>
      <c r="AH378" s="6">
        <v>6071</v>
      </c>
      <c r="AI378" s="6">
        <v>97</v>
      </c>
      <c r="AL378" s="4">
        <v>131</v>
      </c>
      <c r="AM378" s="4">
        <v>964</v>
      </c>
      <c r="AN378" s="4">
        <v>129</v>
      </c>
      <c r="AO378" s="6">
        <v>521782</v>
      </c>
      <c r="AP378" s="6">
        <v>172763</v>
      </c>
      <c r="AQ378" s="6">
        <v>349019</v>
      </c>
      <c r="AS378" s="6">
        <v>69.099999999999994</v>
      </c>
      <c r="AT378" s="6">
        <v>45.9</v>
      </c>
      <c r="AV378" s="4">
        <v>13</v>
      </c>
      <c r="AW378" s="4">
        <v>12</v>
      </c>
    </row>
    <row r="379" spans="1:49" x14ac:dyDescent="0.2">
      <c r="A379" s="1">
        <v>44348</v>
      </c>
      <c r="B379">
        <f t="shared" si="52"/>
        <v>-4.3899999999999997</v>
      </c>
      <c r="C379" s="1" t="s">
        <v>57</v>
      </c>
      <c r="D379" s="1" t="s">
        <v>62</v>
      </c>
      <c r="E379" s="1" t="s">
        <v>65</v>
      </c>
      <c r="F379" s="1" t="s">
        <v>48</v>
      </c>
      <c r="G379">
        <v>1834</v>
      </c>
      <c r="H379" s="4">
        <v>74.16</v>
      </c>
      <c r="I379" s="4">
        <v>112</v>
      </c>
      <c r="J379" s="4">
        <v>47</v>
      </c>
      <c r="K379" s="4">
        <v>118.75</v>
      </c>
      <c r="L379" s="4">
        <v>173</v>
      </c>
      <c r="M379" s="4">
        <v>72</v>
      </c>
      <c r="N379" s="4">
        <v>103</v>
      </c>
      <c r="O379" s="4">
        <v>52</v>
      </c>
      <c r="P379" s="4">
        <v>41.046629046776701</v>
      </c>
      <c r="Q379" s="4">
        <v>56.303464481732902</v>
      </c>
      <c r="R379" s="4">
        <v>61</v>
      </c>
      <c r="S379" s="7" t="s">
        <v>32</v>
      </c>
      <c r="T379" s="4">
        <v>224611</v>
      </c>
      <c r="U379" s="4">
        <v>573439</v>
      </c>
      <c r="V379" s="4">
        <v>2596</v>
      </c>
      <c r="W379" s="4">
        <v>122400</v>
      </c>
      <c r="X379" s="4">
        <v>203416</v>
      </c>
      <c r="Y379" s="4">
        <v>367400</v>
      </c>
      <c r="Z379" s="4">
        <v>120000</v>
      </c>
      <c r="AA379" s="4">
        <v>5023</v>
      </c>
      <c r="AB379" s="4">
        <v>96865</v>
      </c>
      <c r="AC379" s="4">
        <v>561458</v>
      </c>
      <c r="AD379" s="4">
        <v>1402</v>
      </c>
      <c r="AE379" s="4">
        <v>12555</v>
      </c>
      <c r="AF379" s="4">
        <v>672280</v>
      </c>
      <c r="AG379" s="6">
        <v>5431</v>
      </c>
      <c r="AH379" s="6">
        <v>5286</v>
      </c>
      <c r="AI379" s="6">
        <v>145</v>
      </c>
      <c r="AL379" s="4">
        <v>157</v>
      </c>
      <c r="AM379" s="4">
        <v>933</v>
      </c>
      <c r="AN379" s="4">
        <v>136</v>
      </c>
      <c r="AO379" s="6">
        <v>447072</v>
      </c>
      <c r="AP379" s="6">
        <v>108507</v>
      </c>
      <c r="AQ379" s="6">
        <v>338565</v>
      </c>
      <c r="AS379" s="6">
        <v>68.8</v>
      </c>
      <c r="AT379" s="6">
        <v>45.3</v>
      </c>
      <c r="AV379" s="4">
        <v>4</v>
      </c>
      <c r="AW379" s="4">
        <v>10</v>
      </c>
    </row>
    <row r="380" spans="1:49" x14ac:dyDescent="0.2">
      <c r="A380" s="1">
        <v>44347</v>
      </c>
      <c r="B380">
        <f t="shared" si="52"/>
        <v>-4.3899999999999997</v>
      </c>
      <c r="C380" s="1" t="s">
        <v>57</v>
      </c>
      <c r="D380" s="1" t="s">
        <v>62</v>
      </c>
      <c r="E380" s="1" t="s">
        <v>65</v>
      </c>
      <c r="F380" s="1" t="s">
        <v>48</v>
      </c>
      <c r="G380">
        <v>1832</v>
      </c>
      <c r="H380" s="4">
        <v>135.66</v>
      </c>
      <c r="I380" s="4">
        <v>114</v>
      </c>
      <c r="J380" s="4">
        <v>24</v>
      </c>
      <c r="K380" s="4">
        <v>119.79</v>
      </c>
      <c r="L380" s="4">
        <v>240</v>
      </c>
      <c r="M380" s="4">
        <v>79</v>
      </c>
      <c r="N380" s="4">
        <v>93</v>
      </c>
      <c r="O380" s="4">
        <v>45</v>
      </c>
      <c r="P380" s="4">
        <v>30.408364574892001</v>
      </c>
      <c r="Q380" s="4">
        <v>44.227358416409203</v>
      </c>
      <c r="R380" s="4">
        <v>71</v>
      </c>
      <c r="S380" s="7" t="s">
        <v>33</v>
      </c>
      <c r="T380" s="4">
        <v>159015</v>
      </c>
      <c r="U380" s="4">
        <v>654083</v>
      </c>
      <c r="V380" s="4">
        <v>217</v>
      </c>
      <c r="W380" s="4">
        <v>122400</v>
      </c>
      <c r="X380" s="4">
        <v>203413</v>
      </c>
      <c r="Y380" s="4">
        <v>442400</v>
      </c>
      <c r="Z380" s="4">
        <v>120000</v>
      </c>
      <c r="AA380" s="4">
        <v>10670</v>
      </c>
      <c r="AB380" s="4">
        <v>71279</v>
      </c>
      <c r="AC380" s="4">
        <v>524074</v>
      </c>
      <c r="AD380" s="4">
        <v>217</v>
      </c>
      <c r="AE380" s="4">
        <v>16620</v>
      </c>
      <c r="AF380" s="4">
        <v>612190</v>
      </c>
      <c r="AG380" s="6">
        <v>3897</v>
      </c>
      <c r="AH380" s="6">
        <v>3802</v>
      </c>
      <c r="AI380" s="6">
        <v>95</v>
      </c>
      <c r="AL380" s="4">
        <v>124</v>
      </c>
      <c r="AM380" s="4">
        <v>932</v>
      </c>
      <c r="AN380" s="4">
        <v>122</v>
      </c>
      <c r="AO380" s="6">
        <v>288649</v>
      </c>
      <c r="AP380" s="6">
        <v>93103</v>
      </c>
      <c r="AQ380" s="6">
        <v>195546</v>
      </c>
      <c r="AS380" s="6">
        <v>68.599999999999994</v>
      </c>
      <c r="AT380" s="6">
        <v>44.7</v>
      </c>
      <c r="AV380" s="4">
        <v>8</v>
      </c>
      <c r="AW380" s="4">
        <v>11</v>
      </c>
    </row>
    <row r="381" spans="1:49" x14ac:dyDescent="0.2">
      <c r="A381" s="1">
        <v>44346</v>
      </c>
      <c r="B381">
        <v>-3.28</v>
      </c>
      <c r="C381" s="1" t="s">
        <v>57</v>
      </c>
      <c r="D381" s="1" t="s">
        <v>62</v>
      </c>
      <c r="E381" s="1" t="s">
        <v>65</v>
      </c>
      <c r="F381" s="1" t="s">
        <v>48</v>
      </c>
      <c r="G381">
        <v>1806</v>
      </c>
      <c r="H381" s="4">
        <v>145.22</v>
      </c>
      <c r="I381" s="4">
        <v>99</v>
      </c>
      <c r="J381" s="4">
        <v>86</v>
      </c>
      <c r="K381" s="4">
        <v>128.99</v>
      </c>
      <c r="L381" s="4">
        <v>167</v>
      </c>
      <c r="M381" s="4">
        <v>75</v>
      </c>
      <c r="N381" s="4">
        <v>94</v>
      </c>
      <c r="O381" s="4">
        <v>69</v>
      </c>
      <c r="P381" s="4">
        <v>65.604180774729301</v>
      </c>
      <c r="Q381" s="4">
        <v>79.811002079658394</v>
      </c>
      <c r="R381" s="4">
        <v>78</v>
      </c>
      <c r="S381" s="7" t="s">
        <v>33</v>
      </c>
      <c r="T381" s="4">
        <v>192178</v>
      </c>
      <c r="U381" s="4">
        <v>648080</v>
      </c>
      <c r="V381" s="4">
        <v>369</v>
      </c>
      <c r="W381" s="4">
        <v>122400</v>
      </c>
      <c r="X381" s="4">
        <v>203416</v>
      </c>
      <c r="Y381" s="4">
        <v>435000</v>
      </c>
      <c r="Z381" s="4">
        <v>120000</v>
      </c>
      <c r="AA381" s="4">
        <v>12064</v>
      </c>
      <c r="AB381" s="4">
        <v>67026</v>
      </c>
      <c r="AC381" s="4">
        <v>537636</v>
      </c>
      <c r="AD381" s="4">
        <v>260</v>
      </c>
      <c r="AE381" s="4">
        <v>21710</v>
      </c>
      <c r="AF381" s="4">
        <v>626632</v>
      </c>
      <c r="AG381" s="6">
        <v>3164</v>
      </c>
      <c r="AH381" s="6">
        <v>3106</v>
      </c>
      <c r="AI381" s="6">
        <v>58</v>
      </c>
      <c r="AL381" s="4">
        <v>112</v>
      </c>
      <c r="AM381" s="4">
        <v>910</v>
      </c>
      <c r="AN381" s="4">
        <v>124</v>
      </c>
      <c r="AO381" s="6">
        <v>331209</v>
      </c>
      <c r="AP381" s="6">
        <v>124887</v>
      </c>
      <c r="AQ381" s="6">
        <v>206322</v>
      </c>
      <c r="AS381" s="6">
        <v>68.5</v>
      </c>
      <c r="AT381" s="6">
        <v>44.4</v>
      </c>
      <c r="AV381" s="4">
        <v>9</v>
      </c>
      <c r="AW381" s="4">
        <v>9</v>
      </c>
    </row>
    <row r="382" spans="1:49" x14ac:dyDescent="0.2">
      <c r="A382" s="1">
        <v>44345</v>
      </c>
      <c r="B382">
        <f>B381</f>
        <v>-3.28</v>
      </c>
      <c r="C382" s="1" t="s">
        <v>57</v>
      </c>
      <c r="D382" s="1" t="s">
        <v>62</v>
      </c>
      <c r="E382" s="1" t="s">
        <v>65</v>
      </c>
      <c r="F382" s="1" t="s">
        <v>48</v>
      </c>
      <c r="G382">
        <v>1764</v>
      </c>
      <c r="H382" s="4">
        <v>122.24</v>
      </c>
      <c r="I382" s="4">
        <v>101</v>
      </c>
      <c r="J382" s="4">
        <v>85</v>
      </c>
      <c r="K382" s="4">
        <v>162.5</v>
      </c>
      <c r="L382" s="4">
        <v>130</v>
      </c>
      <c r="M382" s="4">
        <v>67</v>
      </c>
      <c r="N382" s="4">
        <v>97</v>
      </c>
      <c r="O382" s="4">
        <v>68</v>
      </c>
      <c r="P382" s="4">
        <v>54.443479781236697</v>
      </c>
      <c r="Q382" s="4">
        <v>70.019239957336595</v>
      </c>
      <c r="R382" s="4">
        <v>75</v>
      </c>
      <c r="S382" s="7" t="s">
        <v>33</v>
      </c>
      <c r="T382" s="4">
        <v>256732</v>
      </c>
      <c r="U382" s="4">
        <v>655056</v>
      </c>
      <c r="V382" s="4">
        <v>524</v>
      </c>
      <c r="W382" s="4">
        <v>122400</v>
      </c>
      <c r="X382" s="4">
        <v>203416</v>
      </c>
      <c r="Y382" s="4">
        <v>442400</v>
      </c>
      <c r="Z382" s="4">
        <v>120000</v>
      </c>
      <c r="AA382" s="4">
        <v>11640</v>
      </c>
      <c r="AB382" s="4">
        <v>60134</v>
      </c>
      <c r="AC382" s="4">
        <v>399675</v>
      </c>
      <c r="AD382" s="4">
        <v>524</v>
      </c>
      <c r="AE382" s="4">
        <v>23142</v>
      </c>
      <c r="AF382" s="4">
        <v>483475</v>
      </c>
      <c r="AG382" s="6">
        <v>2999</v>
      </c>
      <c r="AH382" s="6">
        <v>2952</v>
      </c>
      <c r="AI382" s="6">
        <v>47</v>
      </c>
      <c r="AL382" s="4">
        <v>105</v>
      </c>
      <c r="AM382" s="4">
        <v>890</v>
      </c>
      <c r="AN382" s="4">
        <v>119</v>
      </c>
      <c r="AO382" s="6">
        <v>602374</v>
      </c>
      <c r="AP382" s="6">
        <v>183526</v>
      </c>
      <c r="AQ382" s="6">
        <v>418848</v>
      </c>
      <c r="AS382" s="6">
        <v>68.3</v>
      </c>
      <c r="AT382" s="6">
        <v>44.1</v>
      </c>
      <c r="AV382" s="4">
        <v>9</v>
      </c>
      <c r="AW382" s="4">
        <v>12</v>
      </c>
    </row>
    <row r="383" spans="1:49" x14ac:dyDescent="0.2">
      <c r="A383" s="1">
        <v>44344</v>
      </c>
      <c r="B383">
        <f t="shared" ref="B383:B387" si="53">B382</f>
        <v>-3.28</v>
      </c>
      <c r="C383" s="1" t="s">
        <v>57</v>
      </c>
      <c r="D383" s="1" t="s">
        <v>62</v>
      </c>
      <c r="E383" s="1" t="s">
        <v>65</v>
      </c>
      <c r="F383" s="1" t="s">
        <v>48</v>
      </c>
      <c r="G383">
        <v>1692</v>
      </c>
      <c r="H383" s="4">
        <v>90.47</v>
      </c>
      <c r="I383" s="4">
        <v>110</v>
      </c>
      <c r="J383" s="4">
        <v>61</v>
      </c>
      <c r="K383" s="4">
        <v>122.15</v>
      </c>
      <c r="L383" s="4">
        <v>121</v>
      </c>
      <c r="M383" s="4">
        <v>68</v>
      </c>
      <c r="N383" s="4">
        <v>103</v>
      </c>
      <c r="O383" s="4">
        <v>58</v>
      </c>
      <c r="P383" s="4">
        <v>45.1125235904749</v>
      </c>
      <c r="Q383" s="4">
        <v>65.528600863166304</v>
      </c>
      <c r="R383" s="4">
        <v>67</v>
      </c>
      <c r="S383" s="7" t="s">
        <v>33</v>
      </c>
      <c r="T383" s="4">
        <v>293445</v>
      </c>
      <c r="U383" s="4">
        <v>655059</v>
      </c>
      <c r="V383" s="4">
        <v>3421</v>
      </c>
      <c r="W383" s="4">
        <v>122400</v>
      </c>
      <c r="X383" s="4">
        <v>203416</v>
      </c>
      <c r="Y383" s="4">
        <v>442400</v>
      </c>
      <c r="Z383" s="4">
        <v>120000</v>
      </c>
      <c r="AA383" s="4">
        <v>11643</v>
      </c>
      <c r="AB383" s="4">
        <v>76397</v>
      </c>
      <c r="AC383" s="4">
        <v>574320</v>
      </c>
      <c r="AD383" s="4">
        <v>2105</v>
      </c>
      <c r="AE383" s="4">
        <v>26596</v>
      </c>
      <c r="AF383" s="4">
        <v>679418</v>
      </c>
      <c r="AG383" s="6">
        <v>3589</v>
      </c>
      <c r="AH383" s="6">
        <v>3508</v>
      </c>
      <c r="AI383" s="6">
        <v>81</v>
      </c>
      <c r="AL383" s="4">
        <v>139</v>
      </c>
      <c r="AM383" s="4">
        <v>889</v>
      </c>
      <c r="AN383" s="4">
        <v>124</v>
      </c>
      <c r="AO383" s="6">
        <v>640393</v>
      </c>
      <c r="AP383" s="6">
        <v>204442</v>
      </c>
      <c r="AQ383" s="6">
        <v>435951</v>
      </c>
      <c r="AS383" s="6">
        <v>67.900000000000006</v>
      </c>
      <c r="AT383" s="6">
        <v>43.3</v>
      </c>
      <c r="AV383" s="4">
        <v>8</v>
      </c>
      <c r="AW383" s="4">
        <v>14</v>
      </c>
    </row>
    <row r="384" spans="1:49" x14ac:dyDescent="0.2">
      <c r="A384" s="1">
        <v>44343</v>
      </c>
      <c r="B384">
        <f t="shared" si="53"/>
        <v>-3.28</v>
      </c>
      <c r="C384" s="1" t="s">
        <v>57</v>
      </c>
      <c r="D384" s="1" t="s">
        <v>62</v>
      </c>
      <c r="E384" s="1" t="s">
        <v>65</v>
      </c>
      <c r="F384" s="1" t="s">
        <v>48</v>
      </c>
      <c r="G384">
        <v>1704</v>
      </c>
      <c r="H384" s="4">
        <v>85.33</v>
      </c>
      <c r="I384" s="4">
        <v>112</v>
      </c>
      <c r="J384" s="4">
        <v>60</v>
      </c>
      <c r="K384" s="4">
        <v>102.89</v>
      </c>
      <c r="L384" s="4">
        <v>147</v>
      </c>
      <c r="M384" s="4">
        <v>70</v>
      </c>
      <c r="N384" s="4">
        <v>101</v>
      </c>
      <c r="O384" s="4">
        <v>54</v>
      </c>
      <c r="P384" s="4">
        <v>43.213119910904702</v>
      </c>
      <c r="Q384" s="4">
        <v>65.226818419631698</v>
      </c>
      <c r="R384" s="4">
        <v>63</v>
      </c>
      <c r="S384" s="7" t="s">
        <v>33</v>
      </c>
      <c r="T384" s="4">
        <v>334741</v>
      </c>
      <c r="U384" s="4">
        <v>653428</v>
      </c>
      <c r="V384" s="4">
        <v>4309</v>
      </c>
      <c r="W384" s="4">
        <v>122400</v>
      </c>
      <c r="X384" s="4">
        <v>203411</v>
      </c>
      <c r="Y384" s="4">
        <v>442400</v>
      </c>
      <c r="Z384" s="4">
        <v>120000</v>
      </c>
      <c r="AA384" s="4">
        <v>10017</v>
      </c>
      <c r="AB384" s="4">
        <v>81290</v>
      </c>
      <c r="AC384" s="4">
        <v>853002</v>
      </c>
      <c r="AD384" s="4">
        <v>1989</v>
      </c>
      <c r="AE384" s="4">
        <v>25974</v>
      </c>
      <c r="AF384" s="4">
        <v>962255</v>
      </c>
      <c r="AG384" s="6">
        <v>3747</v>
      </c>
      <c r="AH384" s="6">
        <v>3648</v>
      </c>
      <c r="AI384" s="6">
        <v>99</v>
      </c>
      <c r="AL384" s="4">
        <v>127</v>
      </c>
      <c r="AM384" s="4">
        <v>875</v>
      </c>
      <c r="AN384" s="4">
        <v>120</v>
      </c>
      <c r="AO384" s="6">
        <v>690613</v>
      </c>
      <c r="AP384" s="6">
        <v>256517</v>
      </c>
      <c r="AQ384" s="6">
        <v>434096</v>
      </c>
      <c r="AS384" s="6">
        <v>67.599999999999994</v>
      </c>
      <c r="AT384" s="6">
        <v>42.6</v>
      </c>
      <c r="AV384" s="4">
        <v>9</v>
      </c>
      <c r="AW384" s="4">
        <v>8</v>
      </c>
    </row>
    <row r="385" spans="1:49" x14ac:dyDescent="0.2">
      <c r="A385" s="1">
        <v>44342</v>
      </c>
      <c r="B385">
        <f t="shared" si="53"/>
        <v>-3.28</v>
      </c>
      <c r="C385" s="1" t="s">
        <v>57</v>
      </c>
      <c r="D385" s="1" t="s">
        <v>62</v>
      </c>
      <c r="E385" s="1" t="s">
        <v>65</v>
      </c>
      <c r="F385" s="1" t="s">
        <v>48</v>
      </c>
      <c r="G385">
        <v>1665</v>
      </c>
      <c r="H385" s="4">
        <v>80.040000000000006</v>
      </c>
      <c r="I385" s="4">
        <v>113</v>
      </c>
      <c r="J385" s="4">
        <v>59</v>
      </c>
      <c r="K385" s="4">
        <v>94.09</v>
      </c>
      <c r="L385" s="4">
        <v>124</v>
      </c>
      <c r="M385" s="4">
        <v>64</v>
      </c>
      <c r="N385" s="4">
        <v>98</v>
      </c>
      <c r="O385" s="4">
        <v>53</v>
      </c>
      <c r="P385" s="4">
        <v>41.664684806046502</v>
      </c>
      <c r="Q385" s="4">
        <v>64.224027318325994</v>
      </c>
      <c r="R385" s="4">
        <v>59</v>
      </c>
      <c r="S385" s="7" t="s">
        <v>33</v>
      </c>
      <c r="T385" s="4">
        <v>334104</v>
      </c>
      <c r="U385" s="4">
        <v>652516</v>
      </c>
      <c r="V385" s="4">
        <v>6346</v>
      </c>
      <c r="W385" s="4">
        <v>122400</v>
      </c>
      <c r="X385" s="4">
        <v>203411</v>
      </c>
      <c r="Y385" s="4">
        <v>442400</v>
      </c>
      <c r="Z385" s="4">
        <v>120000</v>
      </c>
      <c r="AA385" s="4">
        <v>9105</v>
      </c>
      <c r="AB385" s="4">
        <v>99166</v>
      </c>
      <c r="AC385" s="4">
        <v>1004373</v>
      </c>
      <c r="AD385" s="4">
        <v>1862</v>
      </c>
      <c r="AE385" s="4">
        <v>28724</v>
      </c>
      <c r="AF385" s="4">
        <v>1134125</v>
      </c>
      <c r="AG385" s="6">
        <v>3921</v>
      </c>
      <c r="AH385" s="6">
        <v>3831</v>
      </c>
      <c r="AI385" s="6">
        <v>90</v>
      </c>
      <c r="AL385" s="4">
        <v>132</v>
      </c>
      <c r="AM385" s="4">
        <v>898</v>
      </c>
      <c r="AN385" s="4">
        <v>125</v>
      </c>
      <c r="AO385" s="6">
        <v>663577</v>
      </c>
      <c r="AP385" s="6">
        <v>236119</v>
      </c>
      <c r="AQ385" s="6">
        <v>427458</v>
      </c>
      <c r="AS385" s="6">
        <v>67.099999999999994</v>
      </c>
      <c r="AT385" s="6">
        <v>41.8</v>
      </c>
      <c r="AV385" s="4">
        <v>13</v>
      </c>
      <c r="AW385" s="4">
        <v>14</v>
      </c>
    </row>
    <row r="386" spans="1:49" x14ac:dyDescent="0.2">
      <c r="A386" s="1">
        <v>44341</v>
      </c>
      <c r="B386">
        <f t="shared" si="53"/>
        <v>-3.28</v>
      </c>
      <c r="C386" s="1" t="s">
        <v>57</v>
      </c>
      <c r="D386" s="1" t="s">
        <v>62</v>
      </c>
      <c r="E386" s="1" t="s">
        <v>65</v>
      </c>
      <c r="F386" s="1" t="s">
        <v>49</v>
      </c>
      <c r="G386">
        <v>1589</v>
      </c>
      <c r="H386" s="4">
        <v>77.8</v>
      </c>
      <c r="I386" s="4">
        <v>113</v>
      </c>
      <c r="J386" s="4">
        <v>57</v>
      </c>
      <c r="K386" s="4">
        <v>87.67</v>
      </c>
      <c r="L386" s="4">
        <v>112</v>
      </c>
      <c r="M386" s="4">
        <v>63</v>
      </c>
      <c r="N386" s="4">
        <v>97</v>
      </c>
      <c r="O386" s="4">
        <v>52</v>
      </c>
      <c r="P386" s="4">
        <v>40.323420165389798</v>
      </c>
      <c r="Q386" s="4">
        <v>63.420658267306401</v>
      </c>
      <c r="R386" s="4">
        <v>57</v>
      </c>
      <c r="S386" s="7" t="s">
        <v>33</v>
      </c>
      <c r="T386" s="4">
        <v>314987</v>
      </c>
      <c r="U386" s="4">
        <v>650668</v>
      </c>
      <c r="V386" s="4">
        <v>6026</v>
      </c>
      <c r="W386" s="4">
        <v>122400</v>
      </c>
      <c r="X386" s="4">
        <v>203411</v>
      </c>
      <c r="Y386" s="4">
        <v>442400</v>
      </c>
      <c r="Z386" s="4">
        <v>120000</v>
      </c>
      <c r="AA386" s="4">
        <v>2400</v>
      </c>
      <c r="AB386" s="4">
        <v>110130</v>
      </c>
      <c r="AC386" s="4">
        <v>618343</v>
      </c>
      <c r="AD386" s="4">
        <v>1856</v>
      </c>
      <c r="AE386" s="4">
        <v>18593</v>
      </c>
      <c r="AF386" s="4">
        <v>748922</v>
      </c>
      <c r="AG386" s="6">
        <v>3427</v>
      </c>
      <c r="AH386" s="6">
        <v>3329</v>
      </c>
      <c r="AI386" s="6">
        <v>98</v>
      </c>
      <c r="AL386" s="4">
        <v>133</v>
      </c>
      <c r="AM386" s="4">
        <v>924</v>
      </c>
      <c r="AN386" s="4">
        <v>128</v>
      </c>
      <c r="AO386" s="6">
        <v>574134</v>
      </c>
      <c r="AP386" s="6">
        <v>186147</v>
      </c>
      <c r="AQ386" s="6">
        <v>387987</v>
      </c>
      <c r="AS386" s="6">
        <v>66.7</v>
      </c>
      <c r="AT386" s="6">
        <v>41.1</v>
      </c>
      <c r="AV386" s="4">
        <v>7</v>
      </c>
      <c r="AW386" s="4">
        <v>10</v>
      </c>
    </row>
    <row r="387" spans="1:49" x14ac:dyDescent="0.2">
      <c r="A387" s="1">
        <v>44340</v>
      </c>
      <c r="B387">
        <f t="shared" si="53"/>
        <v>-3.28</v>
      </c>
      <c r="C387" s="1" t="s">
        <v>57</v>
      </c>
      <c r="D387" s="1" t="s">
        <v>62</v>
      </c>
      <c r="E387" s="1" t="s">
        <v>65</v>
      </c>
      <c r="F387" s="1" t="s">
        <v>49</v>
      </c>
      <c r="G387">
        <v>1511</v>
      </c>
      <c r="H387" s="4">
        <v>52.39</v>
      </c>
      <c r="I387" s="4">
        <v>114</v>
      </c>
      <c r="J387" s="4">
        <v>57</v>
      </c>
      <c r="K387" s="4">
        <v>78.400000000000006</v>
      </c>
      <c r="L387" s="4">
        <v>107</v>
      </c>
      <c r="M387" s="4">
        <v>63</v>
      </c>
      <c r="N387" s="4">
        <v>95</v>
      </c>
      <c r="O387" s="4">
        <v>51</v>
      </c>
      <c r="P387" s="4">
        <v>38.949775388906403</v>
      </c>
      <c r="Q387" s="4">
        <v>62.139260501929797</v>
      </c>
      <c r="R387" s="4">
        <v>55</v>
      </c>
      <c r="S387" s="7" t="s">
        <v>33</v>
      </c>
      <c r="T387" s="4">
        <v>192492</v>
      </c>
      <c r="U387" s="4">
        <v>650842</v>
      </c>
      <c r="V387" s="4">
        <v>11628</v>
      </c>
      <c r="W387" s="4">
        <v>122400</v>
      </c>
      <c r="X387" s="4">
        <v>203411</v>
      </c>
      <c r="Y387" s="4">
        <v>442400</v>
      </c>
      <c r="Z387" s="4">
        <v>120000</v>
      </c>
      <c r="AA387" s="4">
        <v>2400</v>
      </c>
      <c r="AB387" s="4">
        <v>97505</v>
      </c>
      <c r="AC387" s="4">
        <v>847761</v>
      </c>
      <c r="AD387" s="4">
        <v>1756</v>
      </c>
      <c r="AE387" s="4">
        <v>23862</v>
      </c>
      <c r="AF387" s="4">
        <v>970884</v>
      </c>
      <c r="AG387" s="6">
        <v>3368</v>
      </c>
      <c r="AH387" s="6">
        <v>3265</v>
      </c>
      <c r="AI387" s="6">
        <v>103</v>
      </c>
      <c r="AL387" s="4">
        <v>139</v>
      </c>
      <c r="AM387" s="4">
        <v>963</v>
      </c>
      <c r="AN387" s="4">
        <v>121</v>
      </c>
      <c r="AO387" s="6">
        <v>455334</v>
      </c>
      <c r="AP387" s="6">
        <v>122379</v>
      </c>
      <c r="AQ387" s="6">
        <v>332955</v>
      </c>
      <c r="AS387" s="6">
        <v>66.400000000000006</v>
      </c>
      <c r="AT387" s="6">
        <v>40.4</v>
      </c>
      <c r="AV387" s="4">
        <v>9</v>
      </c>
      <c r="AW387" s="4">
        <v>16</v>
      </c>
    </row>
    <row r="388" spans="1:49" x14ac:dyDescent="0.2">
      <c r="A388" s="1">
        <v>44339</v>
      </c>
      <c r="B388">
        <v>-3.55</v>
      </c>
      <c r="C388" s="1" t="s">
        <v>57</v>
      </c>
      <c r="D388" s="1" t="s">
        <v>62</v>
      </c>
      <c r="E388" s="1" t="s">
        <v>65</v>
      </c>
      <c r="F388" s="1" t="s">
        <v>49</v>
      </c>
      <c r="G388">
        <v>1475</v>
      </c>
      <c r="H388" s="4">
        <v>94.7</v>
      </c>
      <c r="I388" s="4">
        <v>104</v>
      </c>
      <c r="J388" s="4">
        <v>85</v>
      </c>
      <c r="K388" s="4">
        <v>84.71</v>
      </c>
      <c r="L388" s="4">
        <v>98</v>
      </c>
      <c r="M388" s="4">
        <v>63</v>
      </c>
      <c r="N388" s="4">
        <v>87</v>
      </c>
      <c r="O388" s="4">
        <v>59</v>
      </c>
      <c r="P388" s="4">
        <v>49.787883140779698</v>
      </c>
      <c r="Q388" s="4">
        <v>69.371947008491105</v>
      </c>
      <c r="R388" s="4">
        <v>66</v>
      </c>
      <c r="S388" s="7" t="s">
        <v>33</v>
      </c>
      <c r="T388" s="4">
        <v>195577</v>
      </c>
      <c r="U388" s="4">
        <v>638411</v>
      </c>
      <c r="V388" s="4">
        <v>5044</v>
      </c>
      <c r="W388" s="4">
        <v>122400</v>
      </c>
      <c r="X388" s="4">
        <v>203411</v>
      </c>
      <c r="Y388" s="4">
        <v>435000</v>
      </c>
      <c r="Z388" s="4">
        <v>120000</v>
      </c>
      <c r="AA388" s="4">
        <v>2400</v>
      </c>
      <c r="AB388" s="4">
        <v>70946</v>
      </c>
      <c r="AC388" s="4">
        <v>1082610</v>
      </c>
      <c r="AD388" s="4">
        <v>209</v>
      </c>
      <c r="AE388" s="4">
        <v>17803</v>
      </c>
      <c r="AF388" s="4">
        <v>1171568</v>
      </c>
      <c r="AG388" s="6">
        <v>2326</v>
      </c>
      <c r="AH388" s="6">
        <v>2262</v>
      </c>
      <c r="AI388" s="6">
        <v>64</v>
      </c>
      <c r="AL388" s="4">
        <v>116</v>
      </c>
      <c r="AM388" s="4">
        <v>927</v>
      </c>
      <c r="AN388" s="4">
        <v>120</v>
      </c>
      <c r="AO388" s="6">
        <v>378496</v>
      </c>
      <c r="AP388" s="6">
        <v>126357</v>
      </c>
      <c r="AQ388" s="6">
        <v>252139</v>
      </c>
      <c r="AS388" s="6">
        <v>66.2</v>
      </c>
      <c r="AT388" s="6">
        <v>39.799999999999997</v>
      </c>
      <c r="AV388" s="4">
        <v>9</v>
      </c>
      <c r="AW388" s="4">
        <v>16</v>
      </c>
    </row>
    <row r="389" spans="1:49" x14ac:dyDescent="0.2">
      <c r="A389" s="1">
        <v>44338</v>
      </c>
      <c r="B389">
        <f>B388</f>
        <v>-3.55</v>
      </c>
      <c r="C389" s="1" t="s">
        <v>57</v>
      </c>
      <c r="D389" s="1" t="s">
        <v>62</v>
      </c>
      <c r="E389" s="1" t="s">
        <v>65</v>
      </c>
      <c r="F389" s="1" t="s">
        <v>49</v>
      </c>
      <c r="G389">
        <v>1457</v>
      </c>
      <c r="H389" s="4">
        <v>123.45</v>
      </c>
      <c r="I389" s="4">
        <v>104</v>
      </c>
      <c r="J389" s="4">
        <v>84</v>
      </c>
      <c r="K389" s="4">
        <v>135.84</v>
      </c>
      <c r="L389" s="4">
        <v>98</v>
      </c>
      <c r="M389" s="4">
        <v>63</v>
      </c>
      <c r="N389" s="4">
        <v>95</v>
      </c>
      <c r="O389" s="4">
        <v>63</v>
      </c>
      <c r="P389" s="4">
        <v>54.473172888028401</v>
      </c>
      <c r="Q389" s="4">
        <v>64.658261265152802</v>
      </c>
      <c r="R389" s="4">
        <v>69</v>
      </c>
      <c r="S389" s="7" t="s">
        <v>33</v>
      </c>
      <c r="T389" s="4">
        <v>250054</v>
      </c>
      <c r="U389" s="4">
        <v>645811</v>
      </c>
      <c r="V389" s="4">
        <v>4580</v>
      </c>
      <c r="W389" s="4">
        <v>122400</v>
      </c>
      <c r="X389" s="4">
        <v>203411</v>
      </c>
      <c r="Y389" s="4">
        <v>442400</v>
      </c>
      <c r="Z389" s="4">
        <v>120000</v>
      </c>
      <c r="AA389" s="4">
        <v>2400</v>
      </c>
      <c r="AB389" s="4">
        <v>72983</v>
      </c>
      <c r="AC389" s="4">
        <v>402594</v>
      </c>
      <c r="AD389" s="4">
        <v>417</v>
      </c>
      <c r="AE389" s="4">
        <v>18875</v>
      </c>
      <c r="AF389" s="4">
        <v>494869</v>
      </c>
      <c r="AG389" s="6">
        <v>2000</v>
      </c>
      <c r="AH389" s="6">
        <v>1940</v>
      </c>
      <c r="AI389" s="6">
        <v>60</v>
      </c>
      <c r="AL389" s="4">
        <v>119</v>
      </c>
      <c r="AM389" s="4">
        <v>890</v>
      </c>
      <c r="AN389" s="4">
        <v>123</v>
      </c>
      <c r="AO389" s="6">
        <v>762361</v>
      </c>
      <c r="AP389" s="6">
        <v>205410</v>
      </c>
      <c r="AQ389" s="6">
        <v>556951</v>
      </c>
      <c r="AS389" s="6">
        <v>66</v>
      </c>
      <c r="AT389" s="6">
        <v>39.4</v>
      </c>
      <c r="AV389" s="4">
        <v>5</v>
      </c>
      <c r="AW389" s="4">
        <v>4</v>
      </c>
    </row>
    <row r="390" spans="1:49" x14ac:dyDescent="0.2">
      <c r="A390" s="1">
        <v>44337</v>
      </c>
      <c r="B390">
        <f t="shared" ref="B390:B394" si="54">B389</f>
        <v>-3.55</v>
      </c>
      <c r="C390" s="1" t="s">
        <v>57</v>
      </c>
      <c r="D390" s="1" t="s">
        <v>62</v>
      </c>
      <c r="E390" s="1" t="s">
        <v>65</v>
      </c>
      <c r="F390" s="1" t="s">
        <v>49</v>
      </c>
      <c r="G390">
        <v>1443</v>
      </c>
      <c r="H390" s="4">
        <v>97.24</v>
      </c>
      <c r="I390" s="4">
        <v>113</v>
      </c>
      <c r="J390" s="4">
        <v>60</v>
      </c>
      <c r="K390" s="4">
        <v>102.68</v>
      </c>
      <c r="L390" s="4">
        <v>85</v>
      </c>
      <c r="M390" s="4">
        <v>59</v>
      </c>
      <c r="N390" s="4">
        <v>96</v>
      </c>
      <c r="O390" s="4">
        <v>55</v>
      </c>
      <c r="P390" s="4">
        <v>42.7296196011376</v>
      </c>
      <c r="Q390" s="4">
        <v>64.089861901899098</v>
      </c>
      <c r="R390" s="4">
        <v>63</v>
      </c>
      <c r="S390" s="7" t="s">
        <v>33</v>
      </c>
      <c r="T390" s="4">
        <v>307668</v>
      </c>
      <c r="U390" s="4">
        <v>645810</v>
      </c>
      <c r="V390" s="4">
        <v>9043</v>
      </c>
      <c r="W390" s="4">
        <v>122400</v>
      </c>
      <c r="X390" s="4">
        <v>203410</v>
      </c>
      <c r="Y390" s="4">
        <v>442400</v>
      </c>
      <c r="Z390" s="4">
        <v>120000</v>
      </c>
      <c r="AA390" s="4">
        <v>2400</v>
      </c>
      <c r="AB390" s="4">
        <v>82914</v>
      </c>
      <c r="AC390" s="4">
        <v>616645</v>
      </c>
      <c r="AD390" s="4">
        <v>2380</v>
      </c>
      <c r="AE390" s="4">
        <v>22871</v>
      </c>
      <c r="AF390" s="4">
        <v>724810</v>
      </c>
      <c r="AG390" s="6">
        <v>2365</v>
      </c>
      <c r="AH390" s="6">
        <v>2309</v>
      </c>
      <c r="AI390" s="6">
        <v>56</v>
      </c>
      <c r="AL390" s="4">
        <v>125</v>
      </c>
      <c r="AM390" s="4">
        <v>925</v>
      </c>
      <c r="AN390" s="4">
        <v>124</v>
      </c>
      <c r="AO390" s="6">
        <v>646340</v>
      </c>
      <c r="AP390" s="6">
        <v>219657</v>
      </c>
      <c r="AQ390" s="6">
        <v>426683</v>
      </c>
      <c r="AS390" s="6">
        <v>65.599999999999994</v>
      </c>
      <c r="AT390" s="6">
        <v>38.4</v>
      </c>
      <c r="AV390" s="4">
        <v>10</v>
      </c>
      <c r="AW390" s="4">
        <v>18</v>
      </c>
    </row>
    <row r="391" spans="1:49" x14ac:dyDescent="0.2">
      <c r="A391" s="1">
        <v>44336</v>
      </c>
      <c r="B391">
        <f t="shared" si="54"/>
        <v>-3.55</v>
      </c>
      <c r="C391" s="1" t="s">
        <v>57</v>
      </c>
      <c r="D391" s="1" t="s">
        <v>62</v>
      </c>
      <c r="E391" s="1" t="s">
        <v>65</v>
      </c>
      <c r="F391" s="1" t="s">
        <v>49</v>
      </c>
      <c r="G391">
        <v>1428</v>
      </c>
      <c r="H391" s="4">
        <v>82.36</v>
      </c>
      <c r="I391" s="4">
        <v>114</v>
      </c>
      <c r="J391" s="4">
        <v>58</v>
      </c>
      <c r="K391" s="4">
        <v>89.23</v>
      </c>
      <c r="L391" s="4">
        <v>104</v>
      </c>
      <c r="M391" s="4">
        <v>62</v>
      </c>
      <c r="N391" s="4">
        <v>97</v>
      </c>
      <c r="O391" s="4">
        <v>51</v>
      </c>
      <c r="P391" s="4">
        <v>41.618959732447699</v>
      </c>
      <c r="Q391" s="4">
        <v>63.443399805983297</v>
      </c>
      <c r="R391" s="4">
        <v>59</v>
      </c>
      <c r="S391" s="7" t="s">
        <v>33</v>
      </c>
      <c r="T391" s="4">
        <v>290998</v>
      </c>
      <c r="U391" s="4">
        <v>645811</v>
      </c>
      <c r="V391" s="4">
        <v>14429</v>
      </c>
      <c r="W391" s="4">
        <v>122400</v>
      </c>
      <c r="X391" s="4">
        <v>203411</v>
      </c>
      <c r="Y391" s="4">
        <v>442400</v>
      </c>
      <c r="Z391" s="4">
        <v>120000</v>
      </c>
      <c r="AA391" s="4">
        <v>2400</v>
      </c>
      <c r="AB391" s="4">
        <v>83485</v>
      </c>
      <c r="AC391" s="4">
        <v>887039</v>
      </c>
      <c r="AD391" s="4">
        <v>2089</v>
      </c>
      <c r="AE391" s="4">
        <v>25531</v>
      </c>
      <c r="AF391" s="4">
        <v>998144</v>
      </c>
      <c r="AG391" s="6">
        <v>2517</v>
      </c>
      <c r="AH391" s="6">
        <v>2432</v>
      </c>
      <c r="AI391" s="6">
        <v>85</v>
      </c>
      <c r="AL391" s="4">
        <v>132</v>
      </c>
      <c r="AM391" s="4">
        <v>915</v>
      </c>
      <c r="AN391" s="4">
        <v>123</v>
      </c>
      <c r="AO391" s="6">
        <v>688563</v>
      </c>
      <c r="AP391" s="6">
        <v>268251</v>
      </c>
      <c r="AQ391" s="6">
        <v>420312</v>
      </c>
      <c r="AS391" s="6">
        <v>65.2</v>
      </c>
      <c r="AT391" s="6">
        <v>37.700000000000003</v>
      </c>
      <c r="AV391" s="4">
        <v>6</v>
      </c>
      <c r="AW391" s="4">
        <v>7</v>
      </c>
    </row>
    <row r="392" spans="1:49" x14ac:dyDescent="0.2">
      <c r="A392" s="1">
        <v>44335</v>
      </c>
      <c r="B392">
        <f t="shared" si="54"/>
        <v>-3.55</v>
      </c>
      <c r="C392" s="1" t="s">
        <v>57</v>
      </c>
      <c r="D392" s="1" t="s">
        <v>62</v>
      </c>
      <c r="E392" s="1" t="s">
        <v>65</v>
      </c>
      <c r="F392" s="1" t="s">
        <v>49</v>
      </c>
      <c r="G392">
        <v>1378</v>
      </c>
      <c r="H392" s="4">
        <v>73.75</v>
      </c>
      <c r="I392" s="4">
        <v>113</v>
      </c>
      <c r="J392" s="4">
        <v>58</v>
      </c>
      <c r="K392" s="4">
        <v>88.89</v>
      </c>
      <c r="L392" s="4">
        <v>122</v>
      </c>
      <c r="M392" s="4">
        <v>63</v>
      </c>
      <c r="N392" s="4">
        <v>96</v>
      </c>
      <c r="O392" s="4">
        <v>53</v>
      </c>
      <c r="P392" s="4">
        <v>40.764117575872298</v>
      </c>
      <c r="Q392" s="4">
        <v>63.800534262737699</v>
      </c>
      <c r="R392" s="4">
        <v>58</v>
      </c>
      <c r="S392" s="7" t="s">
        <v>33</v>
      </c>
      <c r="T392" s="4">
        <v>328217</v>
      </c>
      <c r="U392" s="4">
        <v>645811</v>
      </c>
      <c r="V392" s="4">
        <v>13582</v>
      </c>
      <c r="W392" s="4">
        <v>122400</v>
      </c>
      <c r="X392" s="4">
        <v>203411</v>
      </c>
      <c r="Y392" s="4">
        <v>442400</v>
      </c>
      <c r="Z392" s="4">
        <v>120000</v>
      </c>
      <c r="AA392" s="4">
        <v>2400</v>
      </c>
      <c r="AB392" s="4">
        <v>101392</v>
      </c>
      <c r="AC392" s="4">
        <v>1056953</v>
      </c>
      <c r="AD392" s="4">
        <v>1991</v>
      </c>
      <c r="AE392" s="4">
        <v>28573</v>
      </c>
      <c r="AF392" s="4">
        <v>1188909</v>
      </c>
      <c r="AG392" s="6">
        <v>2812</v>
      </c>
      <c r="AH392" s="6">
        <v>2736</v>
      </c>
      <c r="AI392" s="6">
        <v>76</v>
      </c>
      <c r="AL392" s="4">
        <v>128</v>
      </c>
      <c r="AM392" s="4">
        <v>921</v>
      </c>
      <c r="AN392" s="4">
        <v>122</v>
      </c>
      <c r="AO392" s="6">
        <v>633876</v>
      </c>
      <c r="AP392" s="6">
        <v>264858</v>
      </c>
      <c r="AQ392" s="6">
        <v>369018</v>
      </c>
      <c r="AS392" s="6">
        <v>64.8</v>
      </c>
      <c r="AT392" s="6">
        <v>36.9</v>
      </c>
      <c r="AV392" s="4">
        <v>5</v>
      </c>
      <c r="AW392" s="4">
        <v>4</v>
      </c>
    </row>
    <row r="393" spans="1:49" x14ac:dyDescent="0.2">
      <c r="A393" s="1">
        <v>44334</v>
      </c>
      <c r="B393">
        <f t="shared" si="54"/>
        <v>-3.55</v>
      </c>
      <c r="C393" s="1" t="s">
        <v>57</v>
      </c>
      <c r="D393" s="1" t="s">
        <v>62</v>
      </c>
      <c r="E393" s="1" t="s">
        <v>65</v>
      </c>
      <c r="F393" s="1" t="s">
        <v>49</v>
      </c>
      <c r="G393">
        <v>1329</v>
      </c>
      <c r="H393" s="4">
        <v>65.739999999999995</v>
      </c>
      <c r="I393" s="4">
        <v>113</v>
      </c>
      <c r="J393" s="4">
        <v>56</v>
      </c>
      <c r="K393" s="4">
        <v>83.84</v>
      </c>
      <c r="L393" s="4">
        <v>115</v>
      </c>
      <c r="M393" s="4">
        <v>63</v>
      </c>
      <c r="N393" s="4">
        <v>95</v>
      </c>
      <c r="O393" s="4">
        <v>53</v>
      </c>
      <c r="P393" s="4">
        <v>39.670398944624203</v>
      </c>
      <c r="Q393" s="4">
        <v>63.347514800779798</v>
      </c>
      <c r="R393" s="4">
        <v>57</v>
      </c>
      <c r="S393" s="7" t="s">
        <v>33</v>
      </c>
      <c r="T393" s="4">
        <v>301725</v>
      </c>
      <c r="U393" s="4">
        <v>645811</v>
      </c>
      <c r="V393" s="4">
        <v>19663</v>
      </c>
      <c r="W393" s="4">
        <v>122400</v>
      </c>
      <c r="X393" s="4">
        <v>203411</v>
      </c>
      <c r="Y393" s="4">
        <v>442400</v>
      </c>
      <c r="Z393" s="4">
        <v>120000</v>
      </c>
      <c r="AA393" s="4">
        <v>2400</v>
      </c>
      <c r="AB393" s="4">
        <v>107549</v>
      </c>
      <c r="AC393" s="4">
        <v>614372</v>
      </c>
      <c r="AD393" s="4">
        <v>1701</v>
      </c>
      <c r="AE393" s="4">
        <v>29222</v>
      </c>
      <c r="AF393" s="4">
        <v>752844</v>
      </c>
      <c r="AG393" s="6">
        <v>2812</v>
      </c>
      <c r="AH393" s="6">
        <v>2725</v>
      </c>
      <c r="AI393" s="6">
        <v>87</v>
      </c>
      <c r="AL393" s="4">
        <v>128</v>
      </c>
      <c r="AM393" s="4">
        <v>902</v>
      </c>
      <c r="AN393" s="4">
        <v>124</v>
      </c>
      <c r="AO393" s="6">
        <v>498101</v>
      </c>
      <c r="AP393" s="6">
        <v>174100</v>
      </c>
      <c r="AQ393" s="6">
        <v>324001</v>
      </c>
      <c r="AS393" s="6">
        <v>64.3</v>
      </c>
      <c r="AT393" s="6">
        <v>36.299999999999997</v>
      </c>
      <c r="AV393" s="4">
        <v>6</v>
      </c>
      <c r="AW393" s="4">
        <v>11</v>
      </c>
    </row>
    <row r="394" spans="1:49" x14ac:dyDescent="0.2">
      <c r="A394" s="1">
        <v>44333</v>
      </c>
      <c r="B394">
        <f t="shared" si="54"/>
        <v>-3.55</v>
      </c>
      <c r="C394" s="1" t="s">
        <v>57</v>
      </c>
      <c r="D394" s="1" t="s">
        <v>62</v>
      </c>
      <c r="E394" s="1" t="s">
        <v>65</v>
      </c>
      <c r="F394" s="1" t="s">
        <v>49</v>
      </c>
      <c r="G394">
        <v>1281</v>
      </c>
      <c r="H394" s="4">
        <v>77.52</v>
      </c>
      <c r="I394" s="4">
        <v>114</v>
      </c>
      <c r="J394" s="4">
        <v>56</v>
      </c>
      <c r="K394" s="4">
        <v>76.599999999999994</v>
      </c>
      <c r="L394" s="4">
        <v>110</v>
      </c>
      <c r="M394" s="4">
        <v>64</v>
      </c>
      <c r="N394" s="4">
        <v>92</v>
      </c>
      <c r="O394" s="4">
        <v>52</v>
      </c>
      <c r="P394" s="4">
        <v>38.529587040310901</v>
      </c>
      <c r="Q394" s="4">
        <v>62.626745145015398</v>
      </c>
      <c r="R394" s="4">
        <v>56</v>
      </c>
      <c r="S394" s="7" t="s">
        <v>33</v>
      </c>
      <c r="T394" s="4">
        <v>169421</v>
      </c>
      <c r="U394" s="4">
        <v>645811</v>
      </c>
      <c r="V394" s="4">
        <v>26700</v>
      </c>
      <c r="W394" s="4">
        <v>122400</v>
      </c>
      <c r="X394" s="4">
        <v>203411</v>
      </c>
      <c r="Y394" s="4">
        <v>442400</v>
      </c>
      <c r="Z394" s="4">
        <v>120000</v>
      </c>
      <c r="AA394" s="4">
        <v>2400</v>
      </c>
      <c r="AB394" s="4">
        <v>89841</v>
      </c>
      <c r="AC394" s="4">
        <v>880761</v>
      </c>
      <c r="AD394" s="4">
        <v>1391</v>
      </c>
      <c r="AE394" s="4">
        <v>33489</v>
      </c>
      <c r="AF394" s="4">
        <v>1005482</v>
      </c>
      <c r="AG394" s="6">
        <v>2858</v>
      </c>
      <c r="AH394" s="6">
        <v>2765</v>
      </c>
      <c r="AI394" s="6">
        <v>93</v>
      </c>
      <c r="AL394" s="4">
        <v>102</v>
      </c>
      <c r="AM394" s="4">
        <v>947</v>
      </c>
      <c r="AN394" s="4">
        <v>125</v>
      </c>
      <c r="AO394" s="6">
        <v>365782</v>
      </c>
      <c r="AP394" s="6">
        <v>106733</v>
      </c>
      <c r="AQ394" s="6">
        <v>259049</v>
      </c>
      <c r="AS394" s="6">
        <v>64</v>
      </c>
      <c r="AT394" s="6">
        <v>35.700000000000003</v>
      </c>
      <c r="AV394" s="4">
        <v>8</v>
      </c>
      <c r="AW394" s="4">
        <v>13</v>
      </c>
    </row>
    <row r="395" spans="1:49" x14ac:dyDescent="0.2">
      <c r="A395" s="1">
        <v>44332</v>
      </c>
      <c r="B395">
        <v>5.41</v>
      </c>
      <c r="C395" s="1" t="s">
        <v>57</v>
      </c>
      <c r="D395" s="1" t="s">
        <v>62</v>
      </c>
      <c r="E395" s="1" t="s">
        <v>65</v>
      </c>
      <c r="F395" s="1" t="s">
        <v>49</v>
      </c>
      <c r="G395">
        <v>1249</v>
      </c>
      <c r="H395" s="4">
        <v>38.15</v>
      </c>
      <c r="I395" s="4">
        <v>107</v>
      </c>
      <c r="J395" s="4">
        <v>82</v>
      </c>
      <c r="K395" s="4">
        <v>66.55</v>
      </c>
      <c r="L395" s="4">
        <v>90</v>
      </c>
      <c r="M395" s="4">
        <v>55</v>
      </c>
      <c r="N395" s="4">
        <v>88</v>
      </c>
      <c r="O395" s="4">
        <v>52</v>
      </c>
      <c r="P395" s="4">
        <v>39.831838733728702</v>
      </c>
      <c r="Q395" s="4">
        <v>62.339440962177598</v>
      </c>
      <c r="R395" s="4">
        <v>53</v>
      </c>
      <c r="S395" s="7" t="s">
        <v>33</v>
      </c>
      <c r="T395" s="4">
        <v>182181</v>
      </c>
      <c r="U395" s="4">
        <v>618411</v>
      </c>
      <c r="V395" s="4">
        <v>24545</v>
      </c>
      <c r="W395" s="4">
        <v>122400</v>
      </c>
      <c r="X395" s="4">
        <v>203411</v>
      </c>
      <c r="Y395" s="4">
        <v>415000</v>
      </c>
      <c r="Z395" s="4">
        <v>120000</v>
      </c>
      <c r="AA395" s="4">
        <v>2400</v>
      </c>
      <c r="AB395" s="4">
        <v>70406</v>
      </c>
      <c r="AC395" s="4">
        <v>1003968</v>
      </c>
      <c r="AD395" s="4">
        <v>90</v>
      </c>
      <c r="AE395" s="4">
        <v>37304</v>
      </c>
      <c r="AF395" s="4">
        <v>1111768</v>
      </c>
      <c r="AG395" s="6">
        <v>1922</v>
      </c>
      <c r="AH395" s="6">
        <v>1866</v>
      </c>
      <c r="AI395" s="6">
        <v>56</v>
      </c>
      <c r="AL395" s="4">
        <v>81</v>
      </c>
      <c r="AM395" s="4">
        <v>945</v>
      </c>
      <c r="AN395" s="4">
        <v>123</v>
      </c>
      <c r="AO395" s="6">
        <v>315063</v>
      </c>
      <c r="AP395" s="6">
        <v>131318</v>
      </c>
      <c r="AQ395" s="6">
        <v>183745</v>
      </c>
      <c r="AS395" s="6">
        <v>63.8</v>
      </c>
      <c r="AT395" s="6">
        <v>35.299999999999997</v>
      </c>
      <c r="AV395" s="4">
        <v>8</v>
      </c>
      <c r="AW395" s="4">
        <v>14</v>
      </c>
    </row>
    <row r="396" spans="1:49" x14ac:dyDescent="0.2">
      <c r="A396" s="1">
        <v>44331</v>
      </c>
      <c r="B396">
        <f>B395</f>
        <v>5.41</v>
      </c>
      <c r="C396" s="1" t="s">
        <v>57</v>
      </c>
      <c r="D396" s="1" t="s">
        <v>62</v>
      </c>
      <c r="E396" s="1" t="s">
        <v>65</v>
      </c>
      <c r="F396" s="1" t="s">
        <v>49</v>
      </c>
      <c r="G396">
        <v>1217</v>
      </c>
      <c r="H396" s="4">
        <v>39.840000000000003</v>
      </c>
      <c r="I396" s="4">
        <v>107</v>
      </c>
      <c r="J396" s="4">
        <v>79</v>
      </c>
      <c r="K396" s="4">
        <v>101.76</v>
      </c>
      <c r="L396" s="4">
        <v>91</v>
      </c>
      <c r="M396" s="4">
        <v>55</v>
      </c>
      <c r="N396" s="4">
        <v>94</v>
      </c>
      <c r="O396" s="4">
        <v>56</v>
      </c>
      <c r="P396" s="4">
        <v>42.474477116503799</v>
      </c>
      <c r="Q396" s="4">
        <v>59.8186288648062</v>
      </c>
      <c r="R396" s="4">
        <v>59</v>
      </c>
      <c r="S396" s="7" t="s">
        <v>33</v>
      </c>
      <c r="T396" s="4">
        <v>251275</v>
      </c>
      <c r="U396" s="4">
        <v>625811</v>
      </c>
      <c r="V396" s="4">
        <v>27372</v>
      </c>
      <c r="W396" s="4">
        <v>122400</v>
      </c>
      <c r="X396" s="4">
        <v>203411</v>
      </c>
      <c r="Y396" s="4">
        <v>422400</v>
      </c>
      <c r="Z396" s="4">
        <v>120000</v>
      </c>
      <c r="AA396" s="4">
        <v>2400</v>
      </c>
      <c r="AB396" s="4">
        <v>74442</v>
      </c>
      <c r="AC396" s="4">
        <v>368227</v>
      </c>
      <c r="AD396" s="4">
        <v>503</v>
      </c>
      <c r="AE396" s="4">
        <v>39737</v>
      </c>
      <c r="AF396" s="4">
        <v>482909</v>
      </c>
      <c r="AG396" s="6">
        <v>1626</v>
      </c>
      <c r="AH396" s="6">
        <v>1583</v>
      </c>
      <c r="AI396" s="6">
        <v>43</v>
      </c>
      <c r="AL396" s="4">
        <v>91</v>
      </c>
      <c r="AM396" s="4">
        <v>970</v>
      </c>
      <c r="AN396" s="4">
        <v>121</v>
      </c>
      <c r="AO396" s="6">
        <v>628577</v>
      </c>
      <c r="AP396" s="6">
        <v>237331</v>
      </c>
      <c r="AQ396" s="6">
        <v>391246</v>
      </c>
      <c r="AS396" s="6">
        <v>63.6</v>
      </c>
      <c r="AT396" s="6">
        <v>35</v>
      </c>
      <c r="AV396" s="4">
        <v>8</v>
      </c>
      <c r="AW396" s="4">
        <v>15</v>
      </c>
    </row>
    <row r="397" spans="1:49" x14ac:dyDescent="0.2">
      <c r="A397" s="1">
        <v>44330</v>
      </c>
      <c r="B397">
        <f t="shared" ref="B397:B401" si="55">B396</f>
        <v>5.41</v>
      </c>
      <c r="C397" s="1" t="s">
        <v>57</v>
      </c>
      <c r="D397" s="1" t="s">
        <v>62</v>
      </c>
      <c r="E397" s="1" t="s">
        <v>65</v>
      </c>
      <c r="F397" s="1" t="s">
        <v>49</v>
      </c>
      <c r="G397">
        <v>1196</v>
      </c>
      <c r="H397" s="4">
        <v>39.909999999999997</v>
      </c>
      <c r="I397" s="4">
        <v>114</v>
      </c>
      <c r="J397" s="4">
        <v>58</v>
      </c>
      <c r="K397" s="4">
        <v>86.18</v>
      </c>
      <c r="L397" s="4">
        <v>115</v>
      </c>
      <c r="M397" s="4">
        <v>56</v>
      </c>
      <c r="N397" s="4">
        <v>99</v>
      </c>
      <c r="O397" s="4">
        <v>52</v>
      </c>
      <c r="P397" s="4">
        <v>37.190572190824902</v>
      </c>
      <c r="Q397" s="4">
        <v>61.178491821449803</v>
      </c>
      <c r="R397" s="4">
        <v>54</v>
      </c>
      <c r="S397" s="7" t="s">
        <v>33</v>
      </c>
      <c r="T397" s="4">
        <v>274067</v>
      </c>
      <c r="U397" s="4">
        <v>625811</v>
      </c>
      <c r="V397" s="4">
        <v>34212</v>
      </c>
      <c r="W397" s="4">
        <v>122400</v>
      </c>
      <c r="X397" s="4">
        <v>203411</v>
      </c>
      <c r="Y397" s="4">
        <v>422400</v>
      </c>
      <c r="Z397" s="4">
        <v>120000</v>
      </c>
      <c r="AA397" s="4">
        <v>2400</v>
      </c>
      <c r="AB397" s="4">
        <v>78543</v>
      </c>
      <c r="AC397" s="4">
        <v>574390</v>
      </c>
      <c r="AD397" s="4">
        <v>2233</v>
      </c>
      <c r="AE397" s="4">
        <v>45755</v>
      </c>
      <c r="AF397" s="4">
        <v>700921</v>
      </c>
      <c r="AG397" s="6">
        <v>1936</v>
      </c>
      <c r="AH397" s="6">
        <v>1864</v>
      </c>
      <c r="AI397" s="6">
        <v>72</v>
      </c>
      <c r="AL397" s="4">
        <v>97</v>
      </c>
      <c r="AM397" s="4">
        <v>980</v>
      </c>
      <c r="AN397" s="4">
        <v>124</v>
      </c>
      <c r="AO397" s="6">
        <v>613470</v>
      </c>
      <c r="AP397" s="6">
        <v>220068</v>
      </c>
      <c r="AQ397" s="6">
        <v>393402</v>
      </c>
      <c r="AS397" s="6">
        <v>63.2</v>
      </c>
      <c r="AT397" s="6">
        <v>34.299999999999997</v>
      </c>
      <c r="AV397" s="4">
        <v>6</v>
      </c>
      <c r="AW397" s="4">
        <v>14</v>
      </c>
    </row>
    <row r="398" spans="1:49" x14ac:dyDescent="0.2">
      <c r="A398" s="1">
        <v>44329</v>
      </c>
      <c r="B398">
        <f t="shared" si="55"/>
        <v>5.41</v>
      </c>
      <c r="C398" s="1" t="s">
        <v>57</v>
      </c>
      <c r="D398" s="1" t="s">
        <v>62</v>
      </c>
      <c r="E398" s="1" t="s">
        <v>65</v>
      </c>
      <c r="F398" s="1" t="s">
        <v>49</v>
      </c>
      <c r="G398">
        <v>1168</v>
      </c>
      <c r="H398" s="4">
        <v>34.04</v>
      </c>
      <c r="I398" s="4">
        <v>115</v>
      </c>
      <c r="J398" s="4">
        <v>53</v>
      </c>
      <c r="K398" s="4">
        <v>73.459999999999994</v>
      </c>
      <c r="L398" s="4">
        <v>104</v>
      </c>
      <c r="M398" s="4">
        <v>54</v>
      </c>
      <c r="N398" s="4">
        <v>94</v>
      </c>
      <c r="O398" s="4">
        <v>49</v>
      </c>
      <c r="P398" s="4">
        <v>35.597397487679999</v>
      </c>
      <c r="Q398" s="4">
        <v>57.619920955770098</v>
      </c>
      <c r="R398" s="4">
        <v>51</v>
      </c>
      <c r="S398" s="7" t="s">
        <v>33</v>
      </c>
      <c r="T398" s="4">
        <v>294986</v>
      </c>
      <c r="U398" s="4">
        <v>645838</v>
      </c>
      <c r="V398" s="4">
        <v>40648</v>
      </c>
      <c r="W398" s="4">
        <v>122400</v>
      </c>
      <c r="X398" s="4">
        <v>203438</v>
      </c>
      <c r="Y398" s="4">
        <v>442400</v>
      </c>
      <c r="Z398" s="4">
        <v>120000</v>
      </c>
      <c r="AA398" s="4">
        <v>2400</v>
      </c>
      <c r="AB398" s="4">
        <v>86026</v>
      </c>
      <c r="AC398" s="4">
        <v>886203</v>
      </c>
      <c r="AD398" s="4">
        <v>1971</v>
      </c>
      <c r="AE398" s="4">
        <v>53869</v>
      </c>
      <c r="AF398" s="4">
        <v>1028069</v>
      </c>
      <c r="AG398" s="6">
        <v>2182</v>
      </c>
      <c r="AH398" s="6">
        <v>2112</v>
      </c>
      <c r="AI398" s="6">
        <v>70</v>
      </c>
      <c r="AL398" s="4">
        <v>103</v>
      </c>
      <c r="AM398" s="4">
        <v>1004</v>
      </c>
      <c r="AN398" s="4">
        <v>129</v>
      </c>
      <c r="AO398" s="6">
        <v>637325</v>
      </c>
      <c r="AP398" s="6">
        <v>209284</v>
      </c>
      <c r="AQ398" s="6">
        <v>428041</v>
      </c>
      <c r="AS398" s="6">
        <v>62.8</v>
      </c>
      <c r="AT398" s="6">
        <v>33.6</v>
      </c>
      <c r="AV398" s="4">
        <v>7</v>
      </c>
      <c r="AW398" s="4">
        <v>15</v>
      </c>
    </row>
    <row r="399" spans="1:49" x14ac:dyDescent="0.2">
      <c r="A399" s="1">
        <v>44328</v>
      </c>
      <c r="B399">
        <f t="shared" si="55"/>
        <v>5.41</v>
      </c>
      <c r="C399" s="1" t="s">
        <v>57</v>
      </c>
      <c r="D399" s="1" t="s">
        <v>62</v>
      </c>
      <c r="E399" s="1" t="s">
        <v>65</v>
      </c>
      <c r="F399" s="1" t="s">
        <v>49</v>
      </c>
      <c r="G399">
        <v>1174</v>
      </c>
      <c r="H399" s="4">
        <v>36.56</v>
      </c>
      <c r="I399" s="4">
        <v>114</v>
      </c>
      <c r="J399" s="4">
        <v>56</v>
      </c>
      <c r="K399" s="4">
        <v>77.98</v>
      </c>
      <c r="L399" s="4">
        <v>132</v>
      </c>
      <c r="M399" s="4">
        <v>60</v>
      </c>
      <c r="N399" s="4">
        <v>99</v>
      </c>
      <c r="O399" s="4">
        <v>51</v>
      </c>
      <c r="P399" s="4">
        <v>35.870316317160402</v>
      </c>
      <c r="Q399" s="4">
        <v>61.764099584542002</v>
      </c>
      <c r="R399" s="4">
        <v>51</v>
      </c>
      <c r="S399" s="7" t="s">
        <v>33</v>
      </c>
      <c r="T399" s="4">
        <v>322348</v>
      </c>
      <c r="U399" s="4">
        <v>650838</v>
      </c>
      <c r="V399" s="4">
        <v>24528</v>
      </c>
      <c r="W399" s="4">
        <v>122400</v>
      </c>
      <c r="X399" s="4">
        <v>203438</v>
      </c>
      <c r="Y399" s="4">
        <v>447400</v>
      </c>
      <c r="Z399" s="4">
        <v>120000</v>
      </c>
      <c r="AA399" s="4">
        <v>2400</v>
      </c>
      <c r="AB399" s="4">
        <v>97331</v>
      </c>
      <c r="AC399" s="4">
        <v>1065631</v>
      </c>
      <c r="AD399" s="4">
        <v>2735</v>
      </c>
      <c r="AE399" s="4">
        <v>39570</v>
      </c>
      <c r="AF399" s="4">
        <v>1205267</v>
      </c>
      <c r="AG399" s="6">
        <v>2335</v>
      </c>
      <c r="AH399" s="6">
        <v>2243</v>
      </c>
      <c r="AI399" s="6">
        <v>92</v>
      </c>
      <c r="AL399" s="4">
        <v>122</v>
      </c>
      <c r="AM399" s="4">
        <v>1071</v>
      </c>
      <c r="AN399" s="4">
        <v>136</v>
      </c>
      <c r="AO399" s="6">
        <v>636647</v>
      </c>
      <c r="AP399" s="6">
        <v>184210</v>
      </c>
      <c r="AQ399" s="6">
        <v>452437</v>
      </c>
      <c r="AS399" s="6">
        <v>62.4</v>
      </c>
      <c r="AT399" s="6">
        <v>32.799999999999997</v>
      </c>
      <c r="AV399" s="4">
        <v>11</v>
      </c>
      <c r="AW399" s="4">
        <v>15</v>
      </c>
    </row>
    <row r="400" spans="1:49" x14ac:dyDescent="0.2">
      <c r="A400" s="1">
        <v>44327</v>
      </c>
      <c r="B400">
        <f t="shared" si="55"/>
        <v>5.41</v>
      </c>
      <c r="C400" s="1" t="s">
        <v>57</v>
      </c>
      <c r="D400" s="1" t="s">
        <v>62</v>
      </c>
      <c r="E400" s="1" t="s">
        <v>65</v>
      </c>
      <c r="F400" s="1" t="s">
        <v>49</v>
      </c>
      <c r="G400">
        <v>1168</v>
      </c>
      <c r="H400" s="4">
        <v>33.42</v>
      </c>
      <c r="I400" s="4">
        <v>114</v>
      </c>
      <c r="J400" s="4">
        <v>56</v>
      </c>
      <c r="K400" s="4">
        <v>76.489999999999995</v>
      </c>
      <c r="L400" s="4">
        <v>131</v>
      </c>
      <c r="M400" s="4">
        <v>59</v>
      </c>
      <c r="N400" s="4">
        <v>96</v>
      </c>
      <c r="O400" s="4">
        <v>51</v>
      </c>
      <c r="P400" s="4">
        <v>36.215838368980997</v>
      </c>
      <c r="Q400" s="4">
        <v>62.414824379678002</v>
      </c>
      <c r="R400" s="4">
        <v>51</v>
      </c>
      <c r="S400" s="7" t="s">
        <v>33</v>
      </c>
      <c r="T400" s="4">
        <v>300196</v>
      </c>
      <c r="U400" s="4">
        <v>645838</v>
      </c>
      <c r="V400" s="4">
        <v>2814</v>
      </c>
      <c r="W400" s="4">
        <v>122400</v>
      </c>
      <c r="X400" s="4">
        <v>203438</v>
      </c>
      <c r="Y400" s="4">
        <v>442400</v>
      </c>
      <c r="Z400" s="4">
        <v>120000</v>
      </c>
      <c r="AA400" s="4">
        <v>2400</v>
      </c>
      <c r="AB400" s="4">
        <v>108179</v>
      </c>
      <c r="AC400" s="4">
        <v>592503</v>
      </c>
      <c r="AD400" s="4">
        <v>1539</v>
      </c>
      <c r="AE400" s="4">
        <v>13773</v>
      </c>
      <c r="AF400" s="4">
        <v>715994</v>
      </c>
      <c r="AG400" s="6">
        <v>2328</v>
      </c>
      <c r="AH400" s="6">
        <v>2251</v>
      </c>
      <c r="AI400" s="6">
        <v>77</v>
      </c>
      <c r="AL400" s="4">
        <v>109</v>
      </c>
      <c r="AM400" s="4">
        <v>1108</v>
      </c>
      <c r="AN400" s="4">
        <v>138</v>
      </c>
      <c r="AO400" s="6">
        <v>485260</v>
      </c>
      <c r="AP400" s="6">
        <v>135113</v>
      </c>
      <c r="AQ400" s="6">
        <v>350147</v>
      </c>
      <c r="AS400" s="6">
        <v>62.1</v>
      </c>
      <c r="AT400" s="6">
        <v>32.1</v>
      </c>
      <c r="AV400" s="4">
        <v>15</v>
      </c>
      <c r="AW400" s="4">
        <v>21</v>
      </c>
    </row>
    <row r="401" spans="1:49" x14ac:dyDescent="0.2">
      <c r="A401" s="1">
        <v>44326</v>
      </c>
      <c r="B401">
        <f t="shared" si="55"/>
        <v>5.41</v>
      </c>
      <c r="C401" s="1" t="s">
        <v>57</v>
      </c>
      <c r="D401" s="1" t="s">
        <v>62</v>
      </c>
      <c r="E401" s="1" t="s">
        <v>65</v>
      </c>
      <c r="F401" s="1" t="s">
        <v>49</v>
      </c>
      <c r="G401">
        <v>1177</v>
      </c>
      <c r="H401" s="4">
        <v>31.41</v>
      </c>
      <c r="I401" s="4">
        <v>114</v>
      </c>
      <c r="J401" s="4">
        <v>55</v>
      </c>
      <c r="K401" s="4">
        <v>70.72</v>
      </c>
      <c r="L401" s="4">
        <v>134</v>
      </c>
      <c r="M401" s="4">
        <v>60</v>
      </c>
      <c r="N401" s="4">
        <v>96</v>
      </c>
      <c r="O401" s="4">
        <v>50</v>
      </c>
      <c r="P401" s="4">
        <v>34.875082777222602</v>
      </c>
      <c r="Q401" s="4">
        <v>61.872949914220797</v>
      </c>
      <c r="R401" s="4">
        <v>49</v>
      </c>
      <c r="S401" s="7" t="s">
        <v>33</v>
      </c>
      <c r="T401" s="4">
        <v>163477</v>
      </c>
      <c r="U401" s="4">
        <v>635580</v>
      </c>
      <c r="V401" s="4">
        <v>1800</v>
      </c>
      <c r="W401" s="4">
        <v>122400</v>
      </c>
      <c r="X401" s="4">
        <v>203180</v>
      </c>
      <c r="Y401" s="4">
        <v>432400</v>
      </c>
      <c r="Z401" s="4">
        <v>120000</v>
      </c>
      <c r="AA401" s="4">
        <v>2400</v>
      </c>
      <c r="AB401" s="4">
        <v>93196</v>
      </c>
      <c r="AC401" s="4">
        <v>862080</v>
      </c>
      <c r="AD401" s="4">
        <v>1788</v>
      </c>
      <c r="AE401" s="4">
        <v>8895</v>
      </c>
      <c r="AF401" s="4">
        <v>965959</v>
      </c>
      <c r="AG401" s="6">
        <v>2808</v>
      </c>
      <c r="AH401" s="6">
        <v>2725</v>
      </c>
      <c r="AI401" s="6">
        <v>83</v>
      </c>
      <c r="AL401" s="4">
        <v>105</v>
      </c>
      <c r="AM401" s="4">
        <v>1131</v>
      </c>
      <c r="AN401" s="4">
        <v>149</v>
      </c>
      <c r="AO401" s="6">
        <v>346888</v>
      </c>
      <c r="AP401" s="6">
        <v>115053</v>
      </c>
      <c r="AQ401" s="6">
        <v>231835</v>
      </c>
      <c r="AS401" s="6">
        <v>61.9</v>
      </c>
      <c r="AT401" s="6">
        <v>31.5</v>
      </c>
      <c r="AV401" s="4">
        <v>10</v>
      </c>
      <c r="AW401" s="4">
        <v>8</v>
      </c>
    </row>
    <row r="402" spans="1:49" x14ac:dyDescent="0.2">
      <c r="A402" s="1">
        <v>44325</v>
      </c>
      <c r="B402">
        <v>-19.2</v>
      </c>
      <c r="C402" s="1" t="s">
        <v>57</v>
      </c>
      <c r="D402" s="1" t="s">
        <v>62</v>
      </c>
      <c r="E402" s="1" t="s">
        <v>65</v>
      </c>
      <c r="F402" s="1" t="s">
        <v>49</v>
      </c>
      <c r="G402">
        <v>1171</v>
      </c>
      <c r="H402" s="4">
        <v>54.69</v>
      </c>
      <c r="I402" s="4">
        <v>105</v>
      </c>
      <c r="J402" s="4">
        <v>83</v>
      </c>
      <c r="K402" s="4">
        <v>77.849999999999994</v>
      </c>
      <c r="L402" s="4">
        <v>150</v>
      </c>
      <c r="M402" s="4">
        <v>60</v>
      </c>
      <c r="N402" s="4">
        <v>91</v>
      </c>
      <c r="O402" s="4">
        <v>57</v>
      </c>
      <c r="P402" s="4">
        <v>45.600870082698897</v>
      </c>
      <c r="Q402" s="4">
        <v>66.683847229666199</v>
      </c>
      <c r="R402" s="4">
        <v>59</v>
      </c>
      <c r="S402" s="7" t="s">
        <v>33</v>
      </c>
      <c r="T402" s="4">
        <v>216706</v>
      </c>
      <c r="U402" s="4">
        <v>648180</v>
      </c>
      <c r="V402" s="4">
        <v>358</v>
      </c>
      <c r="W402" s="4">
        <v>122400</v>
      </c>
      <c r="X402" s="4">
        <v>203180</v>
      </c>
      <c r="Y402" s="4">
        <v>445000</v>
      </c>
      <c r="Z402" s="4">
        <v>120000</v>
      </c>
      <c r="AA402" s="4">
        <v>2400</v>
      </c>
      <c r="AB402" s="4">
        <v>73561</v>
      </c>
      <c r="AC402" s="4">
        <v>1233565</v>
      </c>
      <c r="AD402" s="4">
        <v>358</v>
      </c>
      <c r="AE402" s="4">
        <v>15557</v>
      </c>
      <c r="AF402" s="4">
        <v>1323041</v>
      </c>
      <c r="AG402" s="6">
        <v>2307</v>
      </c>
      <c r="AH402" s="6">
        <v>2229</v>
      </c>
      <c r="AI402" s="6">
        <v>78</v>
      </c>
      <c r="AL402" s="4">
        <v>103</v>
      </c>
      <c r="AM402" s="4">
        <v>1120</v>
      </c>
      <c r="AN402" s="4">
        <v>144</v>
      </c>
      <c r="AO402" s="6">
        <v>287797</v>
      </c>
      <c r="AP402" s="6">
        <v>100626</v>
      </c>
      <c r="AQ402" s="6">
        <v>187171</v>
      </c>
      <c r="AS402" s="6">
        <v>61.7</v>
      </c>
      <c r="AT402" s="6">
        <v>31.1</v>
      </c>
      <c r="AV402" s="4">
        <v>9</v>
      </c>
      <c r="AW402" s="4">
        <v>11</v>
      </c>
    </row>
    <row r="403" spans="1:49" x14ac:dyDescent="0.2">
      <c r="A403" s="1">
        <v>44324</v>
      </c>
      <c r="B403">
        <f>B402</f>
        <v>-19.2</v>
      </c>
      <c r="C403" s="1" t="s">
        <v>57</v>
      </c>
      <c r="D403" s="1" t="s">
        <v>62</v>
      </c>
      <c r="E403" s="1" t="s">
        <v>65</v>
      </c>
      <c r="F403" s="1" t="s">
        <v>49</v>
      </c>
      <c r="G403">
        <v>1170</v>
      </c>
      <c r="H403" s="4">
        <v>35.51</v>
      </c>
      <c r="I403" s="4">
        <v>109</v>
      </c>
      <c r="J403" s="4">
        <v>79</v>
      </c>
      <c r="K403" s="4">
        <v>86.08</v>
      </c>
      <c r="L403" s="4">
        <v>70</v>
      </c>
      <c r="M403" s="4">
        <v>49</v>
      </c>
      <c r="N403" s="4">
        <v>90</v>
      </c>
      <c r="O403" s="4">
        <v>50</v>
      </c>
      <c r="P403" s="4">
        <v>35.1562604040789</v>
      </c>
      <c r="Q403" s="4">
        <v>54.848013735670897</v>
      </c>
      <c r="R403" s="4">
        <v>54</v>
      </c>
      <c r="S403" s="7" t="s">
        <v>33</v>
      </c>
      <c r="T403" s="4">
        <v>268158</v>
      </c>
      <c r="U403" s="4">
        <v>655580</v>
      </c>
      <c r="V403" s="4">
        <v>1159</v>
      </c>
      <c r="W403" s="4">
        <v>122400</v>
      </c>
      <c r="X403" s="4">
        <v>203180</v>
      </c>
      <c r="Y403" s="4">
        <v>452400</v>
      </c>
      <c r="Z403" s="4">
        <v>120000</v>
      </c>
      <c r="AA403" s="4">
        <v>2400</v>
      </c>
      <c r="AB403" s="4">
        <v>73701</v>
      </c>
      <c r="AC403" s="4">
        <v>401507</v>
      </c>
      <c r="AD403" s="4">
        <v>1159</v>
      </c>
      <c r="AE403" s="4">
        <v>14624</v>
      </c>
      <c r="AF403" s="4">
        <v>490991</v>
      </c>
      <c r="AG403" s="6">
        <v>1607</v>
      </c>
      <c r="AH403" s="6">
        <v>1560</v>
      </c>
      <c r="AI403" s="6">
        <v>47</v>
      </c>
      <c r="AL403" s="4">
        <v>111</v>
      </c>
      <c r="AM403" s="4">
        <v>1139</v>
      </c>
      <c r="AN403" s="4">
        <v>151</v>
      </c>
      <c r="AO403" s="6">
        <v>607864</v>
      </c>
      <c r="AP403" s="6">
        <v>169027</v>
      </c>
      <c r="AQ403" s="6">
        <v>438837</v>
      </c>
      <c r="AS403" s="6">
        <v>61.5</v>
      </c>
      <c r="AT403" s="6">
        <v>30.7</v>
      </c>
      <c r="AV403" s="4">
        <v>9</v>
      </c>
      <c r="AW403" s="4">
        <v>20</v>
      </c>
    </row>
    <row r="404" spans="1:49" x14ac:dyDescent="0.2">
      <c r="A404" s="1">
        <v>44323</v>
      </c>
      <c r="B404">
        <f t="shared" ref="B404:B408" si="56">B403</f>
        <v>-19.2</v>
      </c>
      <c r="C404" s="1" t="s">
        <v>57</v>
      </c>
      <c r="D404" s="1" t="s">
        <v>62</v>
      </c>
      <c r="E404" s="1" t="s">
        <v>65</v>
      </c>
      <c r="F404" s="1" t="s">
        <v>49</v>
      </c>
      <c r="G404">
        <v>1169</v>
      </c>
      <c r="H404" s="4">
        <v>40.96</v>
      </c>
      <c r="I404" s="4">
        <v>114</v>
      </c>
      <c r="J404" s="4">
        <v>59</v>
      </c>
      <c r="K404" s="4">
        <v>84.86</v>
      </c>
      <c r="L404" s="4">
        <v>126</v>
      </c>
      <c r="M404" s="4">
        <v>56</v>
      </c>
      <c r="N404" s="4">
        <v>98</v>
      </c>
      <c r="O404" s="4">
        <v>52</v>
      </c>
      <c r="P404" s="4">
        <v>37.125372227585302</v>
      </c>
      <c r="Q404" s="4">
        <v>62.077332399787103</v>
      </c>
      <c r="R404" s="4">
        <v>53</v>
      </c>
      <c r="S404" s="7" t="s">
        <v>33</v>
      </c>
      <c r="T404" s="4">
        <v>301921</v>
      </c>
      <c r="U404" s="4">
        <v>650580</v>
      </c>
      <c r="V404" s="4">
        <v>2686</v>
      </c>
      <c r="W404" s="4">
        <v>122400</v>
      </c>
      <c r="X404" s="4">
        <v>203180</v>
      </c>
      <c r="Y404" s="4">
        <v>447400</v>
      </c>
      <c r="Z404" s="4">
        <v>120000</v>
      </c>
      <c r="AA404" s="4">
        <v>2400</v>
      </c>
      <c r="AB404" s="4">
        <v>86665</v>
      </c>
      <c r="AC404" s="4">
        <v>605562</v>
      </c>
      <c r="AD404" s="4">
        <v>2114</v>
      </c>
      <c r="AE404" s="4">
        <v>14779</v>
      </c>
      <c r="AF404" s="4">
        <v>709120</v>
      </c>
      <c r="AG404" s="6">
        <v>1981</v>
      </c>
      <c r="AH404" s="6">
        <v>1909</v>
      </c>
      <c r="AI404" s="6">
        <v>72</v>
      </c>
      <c r="AL404" s="4">
        <v>104</v>
      </c>
      <c r="AM404" s="4">
        <v>1159</v>
      </c>
      <c r="AN404" s="4">
        <v>159</v>
      </c>
      <c r="AO404" s="6">
        <v>598823</v>
      </c>
      <c r="AP404" s="6">
        <v>133001</v>
      </c>
      <c r="AQ404" s="6">
        <v>465822</v>
      </c>
      <c r="AS404" s="6">
        <v>61.2</v>
      </c>
      <c r="AT404" s="6">
        <v>30</v>
      </c>
      <c r="AV404" s="4">
        <v>12</v>
      </c>
      <c r="AW404" s="4">
        <v>17</v>
      </c>
    </row>
    <row r="405" spans="1:49" x14ac:dyDescent="0.2">
      <c r="A405" s="1">
        <v>44322</v>
      </c>
      <c r="B405">
        <f t="shared" si="56"/>
        <v>-19.2</v>
      </c>
      <c r="C405" s="1" t="s">
        <v>57</v>
      </c>
      <c r="D405" s="1" t="s">
        <v>62</v>
      </c>
      <c r="E405" s="1" t="s">
        <v>65</v>
      </c>
      <c r="F405" s="1" t="s">
        <v>49</v>
      </c>
      <c r="G405">
        <v>1142</v>
      </c>
      <c r="H405" s="4">
        <v>36.229999999999997</v>
      </c>
      <c r="I405" s="4">
        <v>115</v>
      </c>
      <c r="J405" s="4">
        <v>55</v>
      </c>
      <c r="K405" s="4">
        <v>80.91</v>
      </c>
      <c r="L405" s="4">
        <v>126</v>
      </c>
      <c r="M405" s="4">
        <v>57</v>
      </c>
      <c r="N405" s="4">
        <v>100</v>
      </c>
      <c r="O405" s="4">
        <v>50</v>
      </c>
      <c r="P405" s="4">
        <v>35.564802819511399</v>
      </c>
      <c r="Q405" s="4">
        <v>60.358311096714701</v>
      </c>
      <c r="R405" s="4">
        <v>50</v>
      </c>
      <c r="S405" s="7" t="s">
        <v>33</v>
      </c>
      <c r="T405" s="4">
        <v>326633</v>
      </c>
      <c r="U405" s="4">
        <v>650553</v>
      </c>
      <c r="V405" s="4">
        <v>3693</v>
      </c>
      <c r="W405" s="4">
        <v>122400</v>
      </c>
      <c r="X405" s="4">
        <v>203153</v>
      </c>
      <c r="Y405" s="4">
        <v>447400</v>
      </c>
      <c r="Z405" s="4">
        <v>120000</v>
      </c>
      <c r="AA405" s="4">
        <v>2400</v>
      </c>
      <c r="AB405" s="4">
        <v>85314</v>
      </c>
      <c r="AC405" s="4">
        <v>963396</v>
      </c>
      <c r="AD405" s="4">
        <v>1675</v>
      </c>
      <c r="AE405" s="4">
        <v>18026</v>
      </c>
      <c r="AF405" s="4">
        <v>1068411</v>
      </c>
      <c r="AG405" s="6">
        <v>2325</v>
      </c>
      <c r="AH405" s="6">
        <v>2235</v>
      </c>
      <c r="AI405" s="6">
        <v>90</v>
      </c>
      <c r="AL405" s="4">
        <v>120</v>
      </c>
      <c r="AM405" s="4">
        <v>1161</v>
      </c>
      <c r="AN405" s="4">
        <v>163</v>
      </c>
      <c r="AO405" s="6">
        <v>608471</v>
      </c>
      <c r="AP405" s="6">
        <v>135470</v>
      </c>
      <c r="AQ405" s="6">
        <v>473001</v>
      </c>
      <c r="AS405" s="6">
        <v>61</v>
      </c>
      <c r="AT405" s="6">
        <v>29.2</v>
      </c>
      <c r="AV405" s="4">
        <v>11</v>
      </c>
      <c r="AW405" s="4">
        <v>17</v>
      </c>
    </row>
    <row r="406" spans="1:49" x14ac:dyDescent="0.2">
      <c r="A406" s="1">
        <v>44321</v>
      </c>
      <c r="B406">
        <f t="shared" si="56"/>
        <v>-19.2</v>
      </c>
      <c r="C406" s="1" t="s">
        <v>57</v>
      </c>
      <c r="D406" s="1" t="s">
        <v>62</v>
      </c>
      <c r="E406" s="1" t="s">
        <v>65</v>
      </c>
      <c r="F406" s="1" t="s">
        <v>49</v>
      </c>
      <c r="G406">
        <v>1129</v>
      </c>
      <c r="H406" s="4">
        <v>30.51</v>
      </c>
      <c r="I406" s="4">
        <v>116</v>
      </c>
      <c r="J406" s="4">
        <v>56</v>
      </c>
      <c r="K406" s="4">
        <v>72.09</v>
      </c>
      <c r="L406" s="4">
        <v>107</v>
      </c>
      <c r="M406" s="4">
        <v>53</v>
      </c>
      <c r="N406" s="4">
        <v>93</v>
      </c>
      <c r="O406" s="4">
        <v>49</v>
      </c>
      <c r="P406" s="4">
        <v>34.901789118190699</v>
      </c>
      <c r="Q406" s="4">
        <v>60.351226839583298</v>
      </c>
      <c r="R406" s="4">
        <v>48</v>
      </c>
      <c r="S406" s="7" t="s">
        <v>33</v>
      </c>
      <c r="T406" s="4">
        <v>313925</v>
      </c>
      <c r="U406" s="4">
        <v>653613</v>
      </c>
      <c r="V406" s="4">
        <v>3802</v>
      </c>
      <c r="W406" s="4">
        <v>122400</v>
      </c>
      <c r="X406" s="4">
        <v>203153</v>
      </c>
      <c r="Y406" s="4">
        <v>447400</v>
      </c>
      <c r="Z406" s="4">
        <v>120000</v>
      </c>
      <c r="AA406" s="4">
        <v>5460</v>
      </c>
      <c r="AB406" s="4">
        <v>99729</v>
      </c>
      <c r="AC406" s="4">
        <v>1087576</v>
      </c>
      <c r="AD406" s="4">
        <v>2202</v>
      </c>
      <c r="AE406" s="4">
        <v>17948</v>
      </c>
      <c r="AF406" s="4">
        <v>1207455</v>
      </c>
      <c r="AG406" s="6">
        <v>2568</v>
      </c>
      <c r="AH406" s="6">
        <v>2467</v>
      </c>
      <c r="AI406" s="6">
        <v>101</v>
      </c>
      <c r="AL406" s="4">
        <v>120</v>
      </c>
      <c r="AM406" s="4">
        <v>1241</v>
      </c>
      <c r="AN406" s="4">
        <v>182</v>
      </c>
      <c r="AO406" s="6">
        <v>543323</v>
      </c>
      <c r="AP406" s="6">
        <v>139097</v>
      </c>
      <c r="AQ406" s="6">
        <v>404226</v>
      </c>
      <c r="AS406" s="6">
        <v>60.7</v>
      </c>
      <c r="AT406" s="6">
        <v>28.3</v>
      </c>
      <c r="AV406" s="4">
        <v>13</v>
      </c>
      <c r="AW406" s="4">
        <v>22</v>
      </c>
    </row>
    <row r="407" spans="1:49" x14ac:dyDescent="0.2">
      <c r="A407" s="1">
        <v>44320</v>
      </c>
      <c r="B407">
        <f t="shared" si="56"/>
        <v>-19.2</v>
      </c>
      <c r="C407" s="1" t="s">
        <v>57</v>
      </c>
      <c r="D407" s="1" t="s">
        <v>62</v>
      </c>
      <c r="E407" s="1" t="s">
        <v>65</v>
      </c>
      <c r="F407" s="1" t="s">
        <v>49</v>
      </c>
      <c r="G407">
        <v>1144</v>
      </c>
      <c r="H407" s="4">
        <v>28.01</v>
      </c>
      <c r="I407" s="4">
        <v>116</v>
      </c>
      <c r="J407" s="4">
        <v>54</v>
      </c>
      <c r="K407" s="4">
        <v>68.849999999999994</v>
      </c>
      <c r="L407" s="4">
        <v>102</v>
      </c>
      <c r="M407" s="4">
        <v>53</v>
      </c>
      <c r="N407" s="4">
        <v>95</v>
      </c>
      <c r="O407" s="4">
        <v>49</v>
      </c>
      <c r="P407" s="4">
        <v>34.129129134728899</v>
      </c>
      <c r="Q407" s="4">
        <v>59.725850411230198</v>
      </c>
      <c r="R407" s="4">
        <v>48</v>
      </c>
      <c r="S407" s="7" t="s">
        <v>33</v>
      </c>
      <c r="T407" s="4">
        <v>222051</v>
      </c>
      <c r="U407" s="4">
        <v>657186</v>
      </c>
      <c r="V407" s="4">
        <v>1494</v>
      </c>
      <c r="W407" s="4">
        <v>122400</v>
      </c>
      <c r="X407" s="4">
        <v>203153</v>
      </c>
      <c r="Y407" s="4">
        <v>452400</v>
      </c>
      <c r="Z407" s="4">
        <v>120000</v>
      </c>
      <c r="AA407" s="4">
        <v>4033</v>
      </c>
      <c r="AB407" s="4">
        <v>105080</v>
      </c>
      <c r="AC407" s="4">
        <v>751134</v>
      </c>
      <c r="AD407" s="4">
        <v>1494</v>
      </c>
      <c r="AE407" s="4">
        <v>14366</v>
      </c>
      <c r="AF407" s="4">
        <v>872074</v>
      </c>
      <c r="AG407" s="6">
        <v>2550</v>
      </c>
      <c r="AH407" s="6">
        <v>2459</v>
      </c>
      <c r="AI407" s="6">
        <v>91</v>
      </c>
      <c r="AL407" s="4">
        <v>103</v>
      </c>
      <c r="AM407" s="4">
        <v>1297</v>
      </c>
      <c r="AN407" s="4">
        <v>181</v>
      </c>
      <c r="AO407" s="6">
        <v>384656</v>
      </c>
      <c r="AP407" s="6">
        <v>127170</v>
      </c>
      <c r="AQ407" s="6">
        <v>257486</v>
      </c>
      <c r="AS407" s="6">
        <v>60.5</v>
      </c>
      <c r="AT407" s="6">
        <v>27.6</v>
      </c>
      <c r="AV407" s="4">
        <v>10</v>
      </c>
      <c r="AW407" s="4">
        <v>15</v>
      </c>
    </row>
    <row r="408" spans="1:49" x14ac:dyDescent="0.2">
      <c r="A408" s="1">
        <v>44319</v>
      </c>
      <c r="B408">
        <f t="shared" si="56"/>
        <v>-19.2</v>
      </c>
      <c r="C408" s="1" t="s">
        <v>57</v>
      </c>
      <c r="D408" s="1" t="s">
        <v>62</v>
      </c>
      <c r="E408" s="1" t="s">
        <v>65</v>
      </c>
      <c r="F408" s="1" t="s">
        <v>49</v>
      </c>
      <c r="G408">
        <v>1140</v>
      </c>
      <c r="H408" s="4">
        <v>45.33</v>
      </c>
      <c r="I408" s="4">
        <v>123</v>
      </c>
      <c r="J408" s="4">
        <v>23</v>
      </c>
      <c r="K408" s="4">
        <v>66.06</v>
      </c>
      <c r="L408" s="4">
        <v>126</v>
      </c>
      <c r="M408" s="4">
        <v>60</v>
      </c>
      <c r="N408" s="4">
        <v>84</v>
      </c>
      <c r="O408" s="4">
        <v>35</v>
      </c>
      <c r="P408" s="4">
        <v>21.498270511935399</v>
      </c>
      <c r="Q408" s="4">
        <v>35.121992497796903</v>
      </c>
      <c r="R408" s="4">
        <v>51</v>
      </c>
      <c r="S408" s="7" t="s">
        <v>33</v>
      </c>
      <c r="T408" s="4">
        <v>145567</v>
      </c>
      <c r="U408" s="4">
        <v>660761</v>
      </c>
      <c r="V408" s="4">
        <v>296</v>
      </c>
      <c r="W408" s="4">
        <v>122400</v>
      </c>
      <c r="X408" s="4">
        <v>203153</v>
      </c>
      <c r="Y408" s="4">
        <v>452400</v>
      </c>
      <c r="Z408" s="4">
        <v>120000</v>
      </c>
      <c r="AA408" s="4">
        <v>7608</v>
      </c>
      <c r="AB408" s="4">
        <v>76006</v>
      </c>
      <c r="AC408" s="4">
        <v>986171</v>
      </c>
      <c r="AD408" s="4">
        <v>296</v>
      </c>
      <c r="AE408" s="4">
        <v>13951</v>
      </c>
      <c r="AF408" s="4">
        <v>1076424</v>
      </c>
      <c r="AG408" s="6">
        <v>2084</v>
      </c>
      <c r="AH408" s="6">
        <v>2024</v>
      </c>
      <c r="AI408" s="6">
        <v>60</v>
      </c>
      <c r="AL408" s="4">
        <v>123</v>
      </c>
      <c r="AM408" s="4">
        <v>1304</v>
      </c>
      <c r="AN408" s="4">
        <v>187</v>
      </c>
      <c r="AO408" s="6">
        <v>200099</v>
      </c>
      <c r="AP408" s="6">
        <v>72600</v>
      </c>
      <c r="AQ408" s="6">
        <v>127499</v>
      </c>
      <c r="AS408" s="6">
        <v>60.3</v>
      </c>
      <c r="AT408" s="6">
        <v>27.2</v>
      </c>
      <c r="AV408" s="4">
        <v>10</v>
      </c>
      <c r="AW408" s="4">
        <v>17</v>
      </c>
    </row>
    <row r="409" spans="1:49" x14ac:dyDescent="0.2">
      <c r="A409" s="1">
        <v>44318</v>
      </c>
      <c r="B409">
        <v>-7.61</v>
      </c>
      <c r="C409" s="1" t="s">
        <v>57</v>
      </c>
      <c r="D409" s="1" t="s">
        <v>62</v>
      </c>
      <c r="E409" s="1" t="s">
        <v>65</v>
      </c>
      <c r="F409" s="1" t="s">
        <v>49</v>
      </c>
      <c r="G409">
        <v>1143</v>
      </c>
      <c r="H409" s="4">
        <v>50.13</v>
      </c>
      <c r="I409" s="4">
        <v>104</v>
      </c>
      <c r="J409" s="4">
        <v>80</v>
      </c>
      <c r="K409" s="4">
        <v>78.84</v>
      </c>
      <c r="L409" s="4">
        <v>124</v>
      </c>
      <c r="M409" s="4">
        <v>58</v>
      </c>
      <c r="N409" s="4">
        <v>89</v>
      </c>
      <c r="O409" s="4">
        <v>56</v>
      </c>
      <c r="P409" s="4">
        <v>47.467990943478803</v>
      </c>
      <c r="Q409" s="4">
        <v>64.954522015601498</v>
      </c>
      <c r="R409" s="4">
        <v>60</v>
      </c>
      <c r="S409" s="7" t="s">
        <v>33</v>
      </c>
      <c r="T409" s="4">
        <v>190125</v>
      </c>
      <c r="U409" s="4">
        <v>653361</v>
      </c>
      <c r="V409" s="4">
        <v>545</v>
      </c>
      <c r="W409" s="4">
        <v>122400</v>
      </c>
      <c r="X409" s="4">
        <v>203153</v>
      </c>
      <c r="Y409" s="4">
        <v>445000</v>
      </c>
      <c r="Z409" s="4">
        <v>120000</v>
      </c>
      <c r="AA409" s="4">
        <v>7608</v>
      </c>
      <c r="AB409" s="4">
        <v>68229</v>
      </c>
      <c r="AC409" s="4">
        <v>748059</v>
      </c>
      <c r="AD409" s="4">
        <v>545</v>
      </c>
      <c r="AE409" s="4">
        <v>17918</v>
      </c>
      <c r="AF409" s="4">
        <v>834751</v>
      </c>
      <c r="AG409" s="6">
        <v>1521</v>
      </c>
      <c r="AH409" s="6">
        <v>1467</v>
      </c>
      <c r="AI409" s="6">
        <v>54</v>
      </c>
      <c r="AL409" s="4">
        <v>120</v>
      </c>
      <c r="AM409" s="4">
        <v>1286</v>
      </c>
      <c r="AN409" s="4">
        <v>196</v>
      </c>
      <c r="AO409" s="6">
        <v>262815</v>
      </c>
      <c r="AP409" s="6">
        <v>89924</v>
      </c>
      <c r="AQ409" s="6">
        <v>172891</v>
      </c>
      <c r="AS409" s="6">
        <v>60.2</v>
      </c>
      <c r="AT409" s="6">
        <v>27</v>
      </c>
      <c r="AV409" s="4">
        <v>14</v>
      </c>
      <c r="AW409" s="4">
        <v>19</v>
      </c>
    </row>
    <row r="410" spans="1:49" x14ac:dyDescent="0.2">
      <c r="A410" s="1">
        <v>44317</v>
      </c>
      <c r="B410">
        <f>B409</f>
        <v>-7.61</v>
      </c>
      <c r="C410" s="1" t="s">
        <v>57</v>
      </c>
      <c r="D410" s="1" t="s">
        <v>62</v>
      </c>
      <c r="E410" s="1" t="s">
        <v>65</v>
      </c>
      <c r="F410" s="1" t="s">
        <v>49</v>
      </c>
      <c r="G410">
        <v>1139</v>
      </c>
      <c r="H410" s="4">
        <v>43.39</v>
      </c>
      <c r="I410" s="4">
        <v>106</v>
      </c>
      <c r="J410" s="4">
        <v>79</v>
      </c>
      <c r="K410" s="4">
        <v>102.57</v>
      </c>
      <c r="L410" s="4">
        <v>106</v>
      </c>
      <c r="M410" s="4">
        <v>56</v>
      </c>
      <c r="N410" s="4">
        <v>96</v>
      </c>
      <c r="O410" s="4">
        <v>57</v>
      </c>
      <c r="P410" s="4">
        <v>43.122673513723001</v>
      </c>
      <c r="Q410" s="4">
        <v>61.139990835267497</v>
      </c>
      <c r="R410" s="4">
        <v>60</v>
      </c>
      <c r="S410" s="7" t="s">
        <v>33</v>
      </c>
      <c r="T410" s="4">
        <v>257173</v>
      </c>
      <c r="U410" s="4">
        <v>653233</v>
      </c>
      <c r="V410" s="4">
        <v>590</v>
      </c>
      <c r="W410" s="4">
        <v>122400</v>
      </c>
      <c r="X410" s="4">
        <v>203153</v>
      </c>
      <c r="Y410" s="4">
        <v>444200</v>
      </c>
      <c r="Z410" s="4">
        <v>120000</v>
      </c>
      <c r="AA410" s="4">
        <v>8280</v>
      </c>
      <c r="AB410" s="4">
        <v>61122</v>
      </c>
      <c r="AC410" s="4">
        <v>405678</v>
      </c>
      <c r="AD410" s="4">
        <v>590</v>
      </c>
      <c r="AE410" s="4">
        <v>17075</v>
      </c>
      <c r="AF410" s="4">
        <v>484465</v>
      </c>
      <c r="AG410" s="6">
        <v>1431</v>
      </c>
      <c r="AH410" s="6">
        <v>1379</v>
      </c>
      <c r="AI410" s="6">
        <v>52</v>
      </c>
      <c r="AL410" s="4">
        <v>102</v>
      </c>
      <c r="AM410" s="4">
        <v>1288</v>
      </c>
      <c r="AN410" s="4">
        <v>188</v>
      </c>
      <c r="AO410" s="6">
        <v>515479</v>
      </c>
      <c r="AP410" s="6">
        <v>143175</v>
      </c>
      <c r="AQ410" s="6">
        <v>372304</v>
      </c>
      <c r="AS410" s="6">
        <v>60</v>
      </c>
      <c r="AT410" s="6">
        <v>26.7</v>
      </c>
      <c r="AV410" s="4">
        <v>9</v>
      </c>
      <c r="AW410" s="4">
        <v>15</v>
      </c>
    </row>
    <row r="411" spans="1:49" x14ac:dyDescent="0.2">
      <c r="A411" s="1">
        <v>44316</v>
      </c>
      <c r="B411">
        <f t="shared" ref="B411:B415" si="57">B410</f>
        <v>-7.61</v>
      </c>
      <c r="C411" s="1" t="s">
        <v>57</v>
      </c>
      <c r="D411" s="1" t="s">
        <v>62</v>
      </c>
      <c r="E411" s="1" t="s">
        <v>65</v>
      </c>
      <c r="F411" s="1" t="s">
        <v>49</v>
      </c>
      <c r="G411">
        <v>1134</v>
      </c>
      <c r="H411" s="4">
        <v>41.5</v>
      </c>
      <c r="I411" s="4">
        <v>114</v>
      </c>
      <c r="J411" s="4">
        <v>58</v>
      </c>
      <c r="K411" s="4">
        <v>87.56</v>
      </c>
      <c r="L411" s="4">
        <v>119</v>
      </c>
      <c r="M411" s="4">
        <v>57</v>
      </c>
      <c r="N411" s="4">
        <v>102</v>
      </c>
      <c r="O411" s="4">
        <v>53</v>
      </c>
      <c r="P411" s="4">
        <v>36.780524610318402</v>
      </c>
      <c r="Q411" s="4">
        <v>61.662085231472098</v>
      </c>
      <c r="R411" s="4">
        <v>53</v>
      </c>
      <c r="S411" s="7" t="s">
        <v>33</v>
      </c>
      <c r="T411" s="4">
        <v>272716</v>
      </c>
      <c r="U411" s="4">
        <v>654414</v>
      </c>
      <c r="V411" s="4">
        <v>2182</v>
      </c>
      <c r="W411" s="4">
        <v>122400</v>
      </c>
      <c r="X411" s="4">
        <v>203153</v>
      </c>
      <c r="Y411" s="4">
        <v>444200</v>
      </c>
      <c r="Z411" s="4">
        <v>120000</v>
      </c>
      <c r="AA411" s="4">
        <v>9461</v>
      </c>
      <c r="AB411" s="4">
        <v>81693</v>
      </c>
      <c r="AC411" s="4">
        <v>564272</v>
      </c>
      <c r="AD411" s="4">
        <v>2082</v>
      </c>
      <c r="AE411" s="4">
        <v>19710</v>
      </c>
      <c r="AF411" s="4">
        <v>667757</v>
      </c>
      <c r="AG411" s="6">
        <v>1825</v>
      </c>
      <c r="AH411" s="6">
        <v>1741</v>
      </c>
      <c r="AI411" s="6">
        <v>84</v>
      </c>
      <c r="AL411" s="4">
        <v>114</v>
      </c>
      <c r="AM411" s="4">
        <v>1367</v>
      </c>
      <c r="AN411" s="4">
        <v>185</v>
      </c>
      <c r="AO411" s="6">
        <v>567374</v>
      </c>
      <c r="AP411" s="6">
        <v>145589</v>
      </c>
      <c r="AQ411" s="6">
        <v>421785</v>
      </c>
      <c r="AS411" s="6">
        <v>59.8</v>
      </c>
      <c r="AT411" s="6">
        <v>26</v>
      </c>
      <c r="AV411" s="4">
        <v>12</v>
      </c>
      <c r="AW411" s="4">
        <v>16</v>
      </c>
    </row>
    <row r="412" spans="1:49" x14ac:dyDescent="0.2">
      <c r="A412" s="1">
        <v>44315</v>
      </c>
      <c r="B412">
        <f t="shared" si="57"/>
        <v>-7.61</v>
      </c>
      <c r="C412" s="1" t="s">
        <v>57</v>
      </c>
      <c r="D412" s="1" t="s">
        <v>62</v>
      </c>
      <c r="E412" s="1" t="s">
        <v>65</v>
      </c>
      <c r="F412" s="1" t="s">
        <v>49</v>
      </c>
      <c r="G412">
        <v>1139</v>
      </c>
      <c r="H412" s="4">
        <v>36.72</v>
      </c>
      <c r="I412" s="4">
        <v>115</v>
      </c>
      <c r="J412" s="4">
        <v>55</v>
      </c>
      <c r="K412" s="4">
        <v>75.489999999999995</v>
      </c>
      <c r="L412" s="4">
        <v>119</v>
      </c>
      <c r="M412" s="4">
        <v>56</v>
      </c>
      <c r="N412" s="4">
        <v>98</v>
      </c>
      <c r="O412" s="4">
        <v>49</v>
      </c>
      <c r="P412" s="4">
        <v>35.376548027280997</v>
      </c>
      <c r="Q412" s="4">
        <v>60.606319946552802</v>
      </c>
      <c r="R412" s="4">
        <v>50</v>
      </c>
      <c r="S412" s="7" t="s">
        <v>33</v>
      </c>
      <c r="T412" s="4">
        <v>316540</v>
      </c>
      <c r="U412" s="4">
        <v>655782</v>
      </c>
      <c r="V412" s="4">
        <v>3543</v>
      </c>
      <c r="W412" s="4">
        <v>122400</v>
      </c>
      <c r="X412" s="4">
        <v>203151</v>
      </c>
      <c r="Y412" s="4">
        <v>444200</v>
      </c>
      <c r="Z412" s="4">
        <v>120000</v>
      </c>
      <c r="AA412" s="4">
        <v>10831</v>
      </c>
      <c r="AB412" s="4">
        <v>87343</v>
      </c>
      <c r="AC412" s="4">
        <v>959796</v>
      </c>
      <c r="AD412" s="4">
        <v>1970</v>
      </c>
      <c r="AE412" s="4">
        <v>25122</v>
      </c>
      <c r="AF412" s="4">
        <v>1074231</v>
      </c>
      <c r="AG412" s="6">
        <v>2230</v>
      </c>
      <c r="AH412" s="6">
        <v>2138</v>
      </c>
      <c r="AI412" s="6">
        <v>92</v>
      </c>
      <c r="AL412" s="4">
        <v>103</v>
      </c>
      <c r="AM412" s="4">
        <v>1465</v>
      </c>
      <c r="AN412" s="4">
        <v>196</v>
      </c>
      <c r="AO412" s="6">
        <v>614135</v>
      </c>
      <c r="AP412" s="6">
        <v>122568</v>
      </c>
      <c r="AQ412" s="6">
        <v>491567</v>
      </c>
      <c r="AS412" s="6">
        <v>59.5</v>
      </c>
      <c r="AT412" s="6">
        <v>25.3</v>
      </c>
      <c r="AV412" s="4">
        <v>16</v>
      </c>
      <c r="AW412" s="4">
        <v>17</v>
      </c>
    </row>
    <row r="413" spans="1:49" x14ac:dyDescent="0.2">
      <c r="A413" s="1">
        <v>44314</v>
      </c>
      <c r="B413">
        <f t="shared" si="57"/>
        <v>-7.61</v>
      </c>
      <c r="C413" s="1" t="s">
        <v>57</v>
      </c>
      <c r="D413" s="1" t="s">
        <v>62</v>
      </c>
      <c r="E413" s="1" t="s">
        <v>65</v>
      </c>
      <c r="F413" s="1" t="s">
        <v>49</v>
      </c>
      <c r="G413">
        <v>1132</v>
      </c>
      <c r="H413" s="4">
        <v>29.56</v>
      </c>
      <c r="I413" s="4">
        <v>116</v>
      </c>
      <c r="J413" s="4">
        <v>55</v>
      </c>
      <c r="K413" s="4">
        <v>68.540000000000006</v>
      </c>
      <c r="L413" s="4">
        <v>95</v>
      </c>
      <c r="M413" s="4">
        <v>51</v>
      </c>
      <c r="N413" s="4">
        <v>91</v>
      </c>
      <c r="O413" s="4">
        <v>48</v>
      </c>
      <c r="P413" s="4">
        <v>34.115367295375698</v>
      </c>
      <c r="Q413" s="4">
        <v>58.989965210846101</v>
      </c>
      <c r="R413" s="4">
        <v>47</v>
      </c>
      <c r="S413" s="7" t="s">
        <v>33</v>
      </c>
      <c r="T413" s="4">
        <v>339105</v>
      </c>
      <c r="U413" s="4">
        <v>661229</v>
      </c>
      <c r="V413" s="4">
        <v>3403</v>
      </c>
      <c r="W413" s="4">
        <v>122400</v>
      </c>
      <c r="X413" s="4">
        <v>203151</v>
      </c>
      <c r="Y413" s="4">
        <v>449200</v>
      </c>
      <c r="Z413" s="4">
        <v>120000</v>
      </c>
      <c r="AA413" s="4">
        <v>11278</v>
      </c>
      <c r="AB413" s="4">
        <v>102949</v>
      </c>
      <c r="AC413" s="4">
        <v>1226188</v>
      </c>
      <c r="AD413" s="4">
        <v>1738</v>
      </c>
      <c r="AE413" s="4">
        <v>27264</v>
      </c>
      <c r="AF413" s="4">
        <v>1358139</v>
      </c>
      <c r="AG413" s="6">
        <v>2499</v>
      </c>
      <c r="AH413" s="6">
        <v>2415</v>
      </c>
      <c r="AI413" s="6">
        <v>84</v>
      </c>
      <c r="AL413" s="4">
        <v>112</v>
      </c>
      <c r="AM413" s="4">
        <v>1516</v>
      </c>
      <c r="AN413" s="4">
        <v>208</v>
      </c>
      <c r="AO413" s="6">
        <v>597025</v>
      </c>
      <c r="AP413" s="6">
        <v>134140</v>
      </c>
      <c r="AQ413" s="6">
        <v>462885</v>
      </c>
      <c r="AS413" s="6">
        <v>59.3</v>
      </c>
      <c r="AT413" s="6">
        <v>24.4</v>
      </c>
      <c r="AV413" s="4">
        <v>16</v>
      </c>
      <c r="AW413" s="4">
        <v>21</v>
      </c>
    </row>
    <row r="414" spans="1:49" x14ac:dyDescent="0.2">
      <c r="A414" s="1">
        <v>44313</v>
      </c>
      <c r="B414">
        <f t="shared" si="57"/>
        <v>-7.61</v>
      </c>
      <c r="C414" s="1" t="s">
        <v>57</v>
      </c>
      <c r="D414" s="1" t="s">
        <v>62</v>
      </c>
      <c r="E414" s="1" t="s">
        <v>65</v>
      </c>
      <c r="F414" s="1" t="s">
        <v>49</v>
      </c>
      <c r="G414">
        <v>1120</v>
      </c>
      <c r="H414" s="4">
        <v>35.17</v>
      </c>
      <c r="I414" s="4">
        <v>115</v>
      </c>
      <c r="J414" s="4">
        <v>54</v>
      </c>
      <c r="K414" s="4">
        <v>74.56</v>
      </c>
      <c r="L414" s="4">
        <v>134</v>
      </c>
      <c r="M414" s="4">
        <v>57</v>
      </c>
      <c r="N414" s="4">
        <v>94</v>
      </c>
      <c r="O414" s="4">
        <v>50</v>
      </c>
      <c r="P414" s="4">
        <v>34.594287102339798</v>
      </c>
      <c r="Q414" s="4">
        <v>60.549904906490603</v>
      </c>
      <c r="R414" s="4">
        <v>49</v>
      </c>
      <c r="S414" s="7" t="s">
        <v>33</v>
      </c>
      <c r="T414" s="4">
        <v>288007</v>
      </c>
      <c r="U414" s="4">
        <v>660933</v>
      </c>
      <c r="V414" s="4">
        <v>2821</v>
      </c>
      <c r="W414" s="4">
        <v>122400</v>
      </c>
      <c r="X414" s="4">
        <v>203151</v>
      </c>
      <c r="Y414" s="4">
        <v>449200</v>
      </c>
      <c r="Z414" s="4">
        <v>120000</v>
      </c>
      <c r="AA414" s="4">
        <v>10982</v>
      </c>
      <c r="AB414" s="4">
        <v>105097</v>
      </c>
      <c r="AC414" s="4">
        <v>607528</v>
      </c>
      <c r="AD414" s="4">
        <v>1659</v>
      </c>
      <c r="AE414" s="4">
        <v>20487</v>
      </c>
      <c r="AF414" s="4">
        <v>734771</v>
      </c>
      <c r="AG414" s="6">
        <v>2177</v>
      </c>
      <c r="AH414" s="6">
        <v>2105</v>
      </c>
      <c r="AI414" s="6">
        <v>72</v>
      </c>
      <c r="AL414" s="4">
        <v>169</v>
      </c>
      <c r="AM414" s="4">
        <v>1573</v>
      </c>
      <c r="AN414" s="4">
        <v>214</v>
      </c>
      <c r="AO414" s="6">
        <v>495593</v>
      </c>
      <c r="AP414" s="6">
        <v>116328</v>
      </c>
      <c r="AQ414" s="6">
        <v>379265</v>
      </c>
      <c r="AS414" s="6">
        <v>59.1</v>
      </c>
      <c r="AT414" s="6">
        <v>23.6</v>
      </c>
      <c r="AV414" s="4">
        <v>16</v>
      </c>
      <c r="AW414" s="4">
        <v>25</v>
      </c>
    </row>
    <row r="415" spans="1:49" x14ac:dyDescent="0.2">
      <c r="A415" s="1">
        <v>44312</v>
      </c>
      <c r="B415">
        <f t="shared" si="57"/>
        <v>-7.61</v>
      </c>
      <c r="C415" s="1" t="s">
        <v>57</v>
      </c>
      <c r="D415" s="1" t="s">
        <v>62</v>
      </c>
      <c r="E415" s="1" t="s">
        <v>65</v>
      </c>
      <c r="F415" s="1" t="s">
        <v>49</v>
      </c>
      <c r="G415">
        <v>1105</v>
      </c>
      <c r="H415" s="4">
        <v>30.28</v>
      </c>
      <c r="I415" s="4">
        <v>115</v>
      </c>
      <c r="J415" s="4">
        <v>55</v>
      </c>
      <c r="K415" s="4">
        <v>69.02</v>
      </c>
      <c r="L415" s="4">
        <v>142</v>
      </c>
      <c r="M415" s="4">
        <v>59</v>
      </c>
      <c r="N415" s="4">
        <v>96</v>
      </c>
      <c r="O415" s="4">
        <v>49</v>
      </c>
      <c r="P415" s="4">
        <v>34.061034983974402</v>
      </c>
      <c r="Q415" s="4">
        <v>60.250827394443199</v>
      </c>
      <c r="R415" s="4">
        <v>47</v>
      </c>
      <c r="S415" s="7" t="s">
        <v>33</v>
      </c>
      <c r="T415" s="4">
        <v>184421</v>
      </c>
      <c r="U415" s="4">
        <v>662548</v>
      </c>
      <c r="V415" s="4">
        <v>3049</v>
      </c>
      <c r="W415" s="4">
        <v>122400</v>
      </c>
      <c r="X415" s="4">
        <v>203151</v>
      </c>
      <c r="Y415" s="4">
        <v>449200</v>
      </c>
      <c r="Z415" s="4">
        <v>120000</v>
      </c>
      <c r="AA415" s="4">
        <v>12597</v>
      </c>
      <c r="AB415" s="4">
        <v>90204</v>
      </c>
      <c r="AC415" s="4">
        <v>928974</v>
      </c>
      <c r="AD415" s="4">
        <v>1557</v>
      </c>
      <c r="AE415" s="4">
        <v>24505</v>
      </c>
      <c r="AF415" s="4">
        <v>1045240</v>
      </c>
      <c r="AG415" s="6">
        <v>2627</v>
      </c>
      <c r="AH415" s="6">
        <v>2512</v>
      </c>
      <c r="AI415" s="6">
        <v>115</v>
      </c>
      <c r="AL415" s="4">
        <v>135</v>
      </c>
      <c r="AM415" s="4">
        <v>1650</v>
      </c>
      <c r="AN415" s="4">
        <v>227</v>
      </c>
      <c r="AO415" s="6">
        <v>395383</v>
      </c>
      <c r="AP415" s="6">
        <v>90695</v>
      </c>
      <c r="AQ415" s="6">
        <v>304688</v>
      </c>
      <c r="AS415" s="6">
        <v>58.9</v>
      </c>
      <c r="AT415" s="6">
        <v>23</v>
      </c>
      <c r="AV415" s="4">
        <v>13</v>
      </c>
      <c r="AW415" s="4">
        <v>21</v>
      </c>
    </row>
    <row r="416" spans="1:49" x14ac:dyDescent="0.2">
      <c r="A416" s="1">
        <v>44311</v>
      </c>
      <c r="B416">
        <v>-4.84</v>
      </c>
      <c r="C416" s="1" t="s">
        <v>57</v>
      </c>
      <c r="D416" s="1" t="s">
        <v>62</v>
      </c>
      <c r="E416" s="1" t="s">
        <v>65</v>
      </c>
      <c r="F416" s="1" t="s">
        <v>49</v>
      </c>
      <c r="G416">
        <v>1097</v>
      </c>
      <c r="H416" s="4">
        <v>43.8</v>
      </c>
      <c r="I416" s="4">
        <v>106</v>
      </c>
      <c r="J416" s="4">
        <v>80</v>
      </c>
      <c r="K416" s="4">
        <v>72.72</v>
      </c>
      <c r="L416" s="4">
        <v>133</v>
      </c>
      <c r="M416" s="4">
        <v>57</v>
      </c>
      <c r="N416" s="4">
        <v>90</v>
      </c>
      <c r="O416" s="4">
        <v>54</v>
      </c>
      <c r="P416" s="4">
        <v>44.276702714904303</v>
      </c>
      <c r="Q416" s="4">
        <v>62.482919719141798</v>
      </c>
      <c r="R416" s="4">
        <v>55</v>
      </c>
      <c r="S416" s="7" t="s">
        <v>33</v>
      </c>
      <c r="T416" s="4">
        <v>217751</v>
      </c>
      <c r="U416" s="4">
        <v>639655</v>
      </c>
      <c r="V416" s="4">
        <v>499</v>
      </c>
      <c r="W416" s="4">
        <v>122400</v>
      </c>
      <c r="X416" s="4">
        <v>203141</v>
      </c>
      <c r="Y416" s="4">
        <v>425000</v>
      </c>
      <c r="Z416" s="4">
        <v>120000</v>
      </c>
      <c r="AA416" s="4">
        <v>13914</v>
      </c>
      <c r="AB416" s="4">
        <v>74222</v>
      </c>
      <c r="AC416" s="4">
        <v>1380290</v>
      </c>
      <c r="AD416" s="4">
        <v>499</v>
      </c>
      <c r="AE416" s="4">
        <v>24330</v>
      </c>
      <c r="AF416" s="4">
        <v>1479341</v>
      </c>
      <c r="AG416" s="6">
        <v>2119</v>
      </c>
      <c r="AH416" s="6">
        <v>2046</v>
      </c>
      <c r="AI416" s="6">
        <v>73</v>
      </c>
      <c r="AL416" s="4">
        <v>138</v>
      </c>
      <c r="AM416" s="4">
        <v>1627</v>
      </c>
      <c r="AN416" s="4">
        <v>231</v>
      </c>
      <c r="AO416" s="6">
        <v>340496</v>
      </c>
      <c r="AP416" s="6">
        <v>79695</v>
      </c>
      <c r="AQ416" s="6">
        <v>260801</v>
      </c>
      <c r="AS416" s="6">
        <v>58.7</v>
      </c>
      <c r="AT416" s="6">
        <v>22.4</v>
      </c>
      <c r="AV416" s="4">
        <v>15</v>
      </c>
      <c r="AW416" s="4">
        <v>27</v>
      </c>
    </row>
    <row r="417" spans="1:49" x14ac:dyDescent="0.2">
      <c r="A417" s="1">
        <v>44310</v>
      </c>
      <c r="B417">
        <f>B416</f>
        <v>-4.84</v>
      </c>
      <c r="C417" s="1" t="s">
        <v>57</v>
      </c>
      <c r="D417" s="1" t="s">
        <v>62</v>
      </c>
      <c r="E417" s="1" t="s">
        <v>65</v>
      </c>
      <c r="F417" s="1" t="s">
        <v>49</v>
      </c>
      <c r="G417">
        <v>1096</v>
      </c>
      <c r="H417" s="4">
        <v>40.94</v>
      </c>
      <c r="I417" s="4">
        <v>105</v>
      </c>
      <c r="J417" s="4">
        <v>80</v>
      </c>
      <c r="K417" s="4">
        <v>110.76</v>
      </c>
      <c r="L417" s="4">
        <v>138</v>
      </c>
      <c r="M417" s="4">
        <v>56</v>
      </c>
      <c r="N417" s="4">
        <v>96</v>
      </c>
      <c r="O417" s="4">
        <v>58</v>
      </c>
      <c r="P417" s="4">
        <v>44.183583475133098</v>
      </c>
      <c r="Q417" s="4">
        <v>60.369004107788797</v>
      </c>
      <c r="R417" s="4">
        <v>60</v>
      </c>
      <c r="S417" s="7" t="s">
        <v>33</v>
      </c>
      <c r="T417" s="4">
        <v>272768</v>
      </c>
      <c r="U417" s="4">
        <v>665055</v>
      </c>
      <c r="V417" s="4">
        <v>984</v>
      </c>
      <c r="W417" s="4">
        <v>122400</v>
      </c>
      <c r="X417" s="4">
        <v>203151</v>
      </c>
      <c r="Y417" s="4">
        <v>450100</v>
      </c>
      <c r="Z417" s="4">
        <v>120000</v>
      </c>
      <c r="AA417" s="4">
        <v>14204</v>
      </c>
      <c r="AB417" s="4">
        <v>75287</v>
      </c>
      <c r="AC417" s="4">
        <v>399096</v>
      </c>
      <c r="AD417" s="4">
        <v>984</v>
      </c>
      <c r="AE417" s="4">
        <v>25346</v>
      </c>
      <c r="AF417" s="4">
        <v>500713</v>
      </c>
      <c r="AG417" s="6">
        <v>1564</v>
      </c>
      <c r="AH417" s="6">
        <v>1514</v>
      </c>
      <c r="AI417" s="6">
        <v>50</v>
      </c>
      <c r="AL417" s="4">
        <v>130</v>
      </c>
      <c r="AM417" s="4">
        <v>1674</v>
      </c>
      <c r="AN417" s="4">
        <v>240</v>
      </c>
      <c r="AO417" s="6">
        <v>696403</v>
      </c>
      <c r="AP417" s="6">
        <v>148767</v>
      </c>
      <c r="AQ417" s="6">
        <v>547636</v>
      </c>
      <c r="AS417" s="6">
        <v>58.6</v>
      </c>
      <c r="AT417" s="6">
        <v>22</v>
      </c>
      <c r="AV417" s="4">
        <v>8</v>
      </c>
      <c r="AW417" s="4">
        <v>24</v>
      </c>
    </row>
    <row r="418" spans="1:49" x14ac:dyDescent="0.2">
      <c r="A418" s="1">
        <v>44309</v>
      </c>
      <c r="B418">
        <f t="shared" ref="B418:B422" si="58">B417</f>
        <v>-4.84</v>
      </c>
      <c r="C418" s="1" t="s">
        <v>57</v>
      </c>
      <c r="D418" s="1" t="s">
        <v>62</v>
      </c>
      <c r="E418" s="1" t="s">
        <v>65</v>
      </c>
      <c r="F418" s="1" t="s">
        <v>49</v>
      </c>
      <c r="G418">
        <v>1094</v>
      </c>
      <c r="H418" s="4">
        <v>39.93</v>
      </c>
      <c r="I418" s="4">
        <v>114</v>
      </c>
      <c r="J418" s="4">
        <v>57</v>
      </c>
      <c r="K418" s="4">
        <v>90.51</v>
      </c>
      <c r="L418" s="4">
        <v>144</v>
      </c>
      <c r="M418" s="4">
        <v>56</v>
      </c>
      <c r="N418" s="4">
        <v>100</v>
      </c>
      <c r="O418" s="4">
        <v>52</v>
      </c>
      <c r="P418" s="4">
        <v>36.545118932082602</v>
      </c>
      <c r="Q418" s="4">
        <v>59.3281180725075</v>
      </c>
      <c r="R418" s="4">
        <v>54</v>
      </c>
      <c r="S418" s="7" t="s">
        <v>33</v>
      </c>
      <c r="T418" s="4">
        <v>318827</v>
      </c>
      <c r="U418" s="4">
        <v>665450</v>
      </c>
      <c r="V418" s="4">
        <v>3146</v>
      </c>
      <c r="W418" s="4">
        <v>122400</v>
      </c>
      <c r="X418" s="4">
        <v>203151</v>
      </c>
      <c r="Y418" s="4">
        <v>450100</v>
      </c>
      <c r="Z418" s="4">
        <v>120000</v>
      </c>
      <c r="AA418" s="4">
        <v>14599</v>
      </c>
      <c r="AB418" s="4">
        <v>85579</v>
      </c>
      <c r="AC418" s="4">
        <v>611728</v>
      </c>
      <c r="AD418" s="4">
        <v>3047</v>
      </c>
      <c r="AE418" s="4">
        <v>25387</v>
      </c>
      <c r="AF418" s="4">
        <v>725741</v>
      </c>
      <c r="AG418" s="6">
        <v>2020</v>
      </c>
      <c r="AH418" s="6">
        <v>1931</v>
      </c>
      <c r="AI418" s="6">
        <v>89</v>
      </c>
      <c r="AL418" s="4">
        <v>157</v>
      </c>
      <c r="AM418" s="4">
        <v>1750</v>
      </c>
      <c r="AN418" s="4">
        <v>243</v>
      </c>
      <c r="AO418" s="6">
        <v>600801</v>
      </c>
      <c r="AP418" s="6">
        <v>135786</v>
      </c>
      <c r="AQ418" s="6">
        <v>465015</v>
      </c>
      <c r="AS418" s="6">
        <v>58.3</v>
      </c>
      <c r="AT418" s="6">
        <v>21</v>
      </c>
      <c r="AV418" s="4">
        <v>23</v>
      </c>
      <c r="AW418" s="4">
        <v>29</v>
      </c>
    </row>
    <row r="419" spans="1:49" x14ac:dyDescent="0.2">
      <c r="A419" s="1">
        <v>44308</v>
      </c>
      <c r="B419">
        <f t="shared" si="58"/>
        <v>-4.84</v>
      </c>
      <c r="C419" s="1" t="s">
        <v>57</v>
      </c>
      <c r="D419" s="1" t="s">
        <v>62</v>
      </c>
      <c r="E419" s="1" t="s">
        <v>65</v>
      </c>
      <c r="F419" s="1" t="s">
        <v>49</v>
      </c>
      <c r="G419">
        <v>1097</v>
      </c>
      <c r="H419" s="4">
        <v>41.25</v>
      </c>
      <c r="I419" s="4">
        <v>115</v>
      </c>
      <c r="J419" s="4">
        <v>55</v>
      </c>
      <c r="K419" s="4">
        <v>79.180000000000007</v>
      </c>
      <c r="L419" s="4">
        <v>144</v>
      </c>
      <c r="M419" s="4">
        <v>57</v>
      </c>
      <c r="N419" s="4">
        <v>97</v>
      </c>
      <c r="O419" s="4">
        <v>49</v>
      </c>
      <c r="P419" s="4">
        <v>34.716953991935704</v>
      </c>
      <c r="Q419" s="4">
        <v>60.199108266147597</v>
      </c>
      <c r="R419" s="4">
        <v>49</v>
      </c>
      <c r="S419" s="7" t="s">
        <v>33</v>
      </c>
      <c r="T419" s="4">
        <v>320459</v>
      </c>
      <c r="U419" s="4">
        <v>670690</v>
      </c>
      <c r="V419" s="4">
        <v>4224</v>
      </c>
      <c r="W419" s="4">
        <v>122400</v>
      </c>
      <c r="X419" s="4">
        <v>203150</v>
      </c>
      <c r="Y419" s="4">
        <v>450100</v>
      </c>
      <c r="Z419" s="4">
        <v>120000</v>
      </c>
      <c r="AA419" s="4">
        <v>19840</v>
      </c>
      <c r="AB419" s="4">
        <v>83163</v>
      </c>
      <c r="AC419" s="4">
        <v>993857</v>
      </c>
      <c r="AD419" s="4">
        <v>2322</v>
      </c>
      <c r="AE419" s="4">
        <v>33946</v>
      </c>
      <c r="AF419" s="4">
        <v>1113288</v>
      </c>
      <c r="AG419" s="6">
        <v>2409</v>
      </c>
      <c r="AH419" s="6">
        <v>2300</v>
      </c>
      <c r="AI419" s="6">
        <v>109</v>
      </c>
      <c r="AL419" s="4">
        <v>122</v>
      </c>
      <c r="AM419" s="4">
        <v>1792</v>
      </c>
      <c r="AN419" s="4">
        <v>261</v>
      </c>
      <c r="AO419" s="6">
        <v>562056</v>
      </c>
      <c r="AP419" s="6">
        <v>130986</v>
      </c>
      <c r="AQ419" s="6">
        <v>431070</v>
      </c>
      <c r="AS419" s="6">
        <v>58.1</v>
      </c>
      <c r="AT419" s="6">
        <v>20.2</v>
      </c>
      <c r="AV419" s="4">
        <v>17</v>
      </c>
      <c r="AW419" s="4">
        <v>33</v>
      </c>
    </row>
    <row r="420" spans="1:49" x14ac:dyDescent="0.2">
      <c r="A420" s="1">
        <v>44307</v>
      </c>
      <c r="B420">
        <f t="shared" si="58"/>
        <v>-4.84</v>
      </c>
      <c r="C420" s="1" t="s">
        <v>57</v>
      </c>
      <c r="D420" s="1" t="s">
        <v>62</v>
      </c>
      <c r="E420" s="1" t="s">
        <v>65</v>
      </c>
      <c r="F420" s="1" t="s">
        <v>49</v>
      </c>
      <c r="G420">
        <v>1119</v>
      </c>
      <c r="H420" s="4">
        <v>42.14</v>
      </c>
      <c r="I420" s="4">
        <v>116</v>
      </c>
      <c r="J420" s="4">
        <v>54</v>
      </c>
      <c r="K420" s="4">
        <v>74.89</v>
      </c>
      <c r="L420" s="4">
        <v>124</v>
      </c>
      <c r="M420" s="4">
        <v>55</v>
      </c>
      <c r="N420" s="4">
        <v>94</v>
      </c>
      <c r="O420" s="4">
        <v>48</v>
      </c>
      <c r="P420" s="4">
        <v>33.725671554767999</v>
      </c>
      <c r="Q420" s="4">
        <v>59.516860785406003</v>
      </c>
      <c r="R420" s="4">
        <v>47</v>
      </c>
      <c r="S420" s="7" t="s">
        <v>33</v>
      </c>
      <c r="T420" s="4">
        <v>327012</v>
      </c>
      <c r="U420" s="4">
        <v>653295</v>
      </c>
      <c r="V420" s="4">
        <v>4016</v>
      </c>
      <c r="W420" s="4">
        <v>122400</v>
      </c>
      <c r="X420" s="4">
        <v>203150</v>
      </c>
      <c r="Y420" s="4">
        <v>450100</v>
      </c>
      <c r="Z420" s="4">
        <v>120000</v>
      </c>
      <c r="AA420" s="4">
        <v>2445</v>
      </c>
      <c r="AB420" s="4">
        <v>97479</v>
      </c>
      <c r="AC420" s="4">
        <v>1254128</v>
      </c>
      <c r="AD420" s="4">
        <v>2640</v>
      </c>
      <c r="AE420" s="4">
        <v>17290</v>
      </c>
      <c r="AF420" s="4">
        <v>1371537</v>
      </c>
      <c r="AG420" s="6">
        <v>2709</v>
      </c>
      <c r="AH420" s="6">
        <v>2614</v>
      </c>
      <c r="AI420" s="6">
        <v>95</v>
      </c>
      <c r="AL420" s="4">
        <v>173</v>
      </c>
      <c r="AM420" s="4">
        <v>1894</v>
      </c>
      <c r="AN420" s="4">
        <v>276</v>
      </c>
      <c r="AO420" s="6">
        <v>534693</v>
      </c>
      <c r="AP420" s="6">
        <v>117909</v>
      </c>
      <c r="AQ420" s="6">
        <v>416784</v>
      </c>
      <c r="AS420" s="6">
        <v>57.8</v>
      </c>
      <c r="AT420" s="6">
        <v>19.5</v>
      </c>
      <c r="AV420" s="4">
        <v>24</v>
      </c>
      <c r="AW420" s="4">
        <v>35</v>
      </c>
    </row>
    <row r="421" spans="1:49" x14ac:dyDescent="0.2">
      <c r="A421" s="1">
        <v>44306</v>
      </c>
      <c r="B421">
        <f t="shared" si="58"/>
        <v>-4.84</v>
      </c>
      <c r="C421" s="1" t="s">
        <v>57</v>
      </c>
      <c r="D421" s="1" t="s">
        <v>62</v>
      </c>
      <c r="E421" s="1" t="s">
        <v>65</v>
      </c>
      <c r="F421" s="1" t="s">
        <v>49</v>
      </c>
      <c r="G421">
        <v>1118</v>
      </c>
      <c r="H421" s="4">
        <v>50.95</v>
      </c>
      <c r="I421" s="4">
        <v>115</v>
      </c>
      <c r="J421" s="4">
        <v>53</v>
      </c>
      <c r="K421" s="4">
        <v>80.72</v>
      </c>
      <c r="L421" s="4">
        <v>143</v>
      </c>
      <c r="M421" s="4">
        <v>56</v>
      </c>
      <c r="N421" s="4">
        <v>95</v>
      </c>
      <c r="O421" s="4">
        <v>50</v>
      </c>
      <c r="P421" s="4">
        <v>34.592024588306401</v>
      </c>
      <c r="Q421" s="4">
        <v>60.400306002999997</v>
      </c>
      <c r="R421" s="4">
        <v>49</v>
      </c>
      <c r="S421" s="7" t="s">
        <v>33</v>
      </c>
      <c r="T421" s="4">
        <v>290075</v>
      </c>
      <c r="U421" s="4">
        <v>659009</v>
      </c>
      <c r="V421" s="4">
        <v>3469</v>
      </c>
      <c r="W421" s="4">
        <v>122400</v>
      </c>
      <c r="X421" s="4">
        <v>203150</v>
      </c>
      <c r="Y421" s="4">
        <v>450100</v>
      </c>
      <c r="Z421" s="4">
        <v>120000</v>
      </c>
      <c r="AA421" s="4">
        <v>8159</v>
      </c>
      <c r="AB421" s="4">
        <v>110927</v>
      </c>
      <c r="AC421" s="4">
        <v>604049</v>
      </c>
      <c r="AD421" s="4">
        <v>1821</v>
      </c>
      <c r="AE421" s="4">
        <v>18629</v>
      </c>
      <c r="AF421" s="4">
        <v>735426</v>
      </c>
      <c r="AG421" s="6">
        <v>2541</v>
      </c>
      <c r="AH421" s="6">
        <v>2417</v>
      </c>
      <c r="AI421" s="6">
        <v>124</v>
      </c>
      <c r="AL421" s="4">
        <v>134</v>
      </c>
      <c r="AM421" s="4">
        <v>1927</v>
      </c>
      <c r="AN421" s="4">
        <v>300</v>
      </c>
      <c r="AO421" s="6">
        <v>457649</v>
      </c>
      <c r="AP421" s="6">
        <v>107622</v>
      </c>
      <c r="AQ421" s="6">
        <v>350027</v>
      </c>
      <c r="AS421" s="6">
        <v>57.6</v>
      </c>
      <c r="AT421" s="6">
        <v>18.7</v>
      </c>
      <c r="AV421" s="4">
        <v>19</v>
      </c>
      <c r="AW421" s="4">
        <v>35</v>
      </c>
    </row>
    <row r="422" spans="1:49" x14ac:dyDescent="0.2">
      <c r="A422" s="1">
        <v>44305</v>
      </c>
      <c r="B422">
        <f t="shared" si="58"/>
        <v>-4.84</v>
      </c>
      <c r="C422" s="1" t="s">
        <v>57</v>
      </c>
      <c r="D422" s="1" t="s">
        <v>62</v>
      </c>
      <c r="E422" s="1" t="s">
        <v>65</v>
      </c>
      <c r="F422" s="1" t="s">
        <v>49</v>
      </c>
      <c r="G422">
        <v>1118</v>
      </c>
      <c r="H422" s="4">
        <v>38.36</v>
      </c>
      <c r="I422" s="4">
        <v>115</v>
      </c>
      <c r="J422" s="4">
        <v>53</v>
      </c>
      <c r="K422" s="4">
        <v>74.08</v>
      </c>
      <c r="L422" s="4">
        <v>166</v>
      </c>
      <c r="M422" s="4">
        <v>60</v>
      </c>
      <c r="N422" s="4">
        <v>97</v>
      </c>
      <c r="O422" s="4">
        <v>50</v>
      </c>
      <c r="P422" s="4">
        <v>33.317092809582903</v>
      </c>
      <c r="Q422" s="4">
        <v>59.004265049019097</v>
      </c>
      <c r="R422" s="4">
        <v>48</v>
      </c>
      <c r="S422" s="7" t="s">
        <v>33</v>
      </c>
      <c r="T422" s="4">
        <v>171921</v>
      </c>
      <c r="U422" s="4">
        <v>657997</v>
      </c>
      <c r="V422" s="4">
        <v>3454</v>
      </c>
      <c r="W422" s="4">
        <v>122400</v>
      </c>
      <c r="X422" s="4">
        <v>202938</v>
      </c>
      <c r="Y422" s="4">
        <v>450100</v>
      </c>
      <c r="Z422" s="4">
        <v>120000</v>
      </c>
      <c r="AA422" s="4">
        <v>7359</v>
      </c>
      <c r="AB422" s="4">
        <v>93322</v>
      </c>
      <c r="AC422" s="4">
        <v>941757</v>
      </c>
      <c r="AD422" s="4">
        <v>1440</v>
      </c>
      <c r="AE422" s="4">
        <v>15788</v>
      </c>
      <c r="AF422" s="4">
        <v>1052307</v>
      </c>
      <c r="AG422" s="6">
        <v>2738</v>
      </c>
      <c r="AH422" s="6">
        <v>2633</v>
      </c>
      <c r="AI422" s="6">
        <v>105</v>
      </c>
      <c r="AL422" s="4">
        <v>179</v>
      </c>
      <c r="AM422" s="4">
        <v>2008</v>
      </c>
      <c r="AN422" s="4">
        <v>318</v>
      </c>
      <c r="AO422" s="6">
        <v>373423</v>
      </c>
      <c r="AP422" s="6">
        <v>99672</v>
      </c>
      <c r="AQ422" s="6">
        <v>273751</v>
      </c>
      <c r="AS422" s="6">
        <v>57.4</v>
      </c>
      <c r="AT422" s="6">
        <v>18.100000000000001</v>
      </c>
      <c r="AV422" s="4">
        <v>18</v>
      </c>
      <c r="AW422" s="4">
        <v>23</v>
      </c>
    </row>
    <row r="423" spans="1:49" x14ac:dyDescent="0.2">
      <c r="A423" s="1">
        <v>44304</v>
      </c>
      <c r="B423">
        <v>-12.75</v>
      </c>
      <c r="C423" s="1" t="s">
        <v>57</v>
      </c>
      <c r="D423" s="1" t="s">
        <v>62</v>
      </c>
      <c r="E423" s="1" t="s">
        <v>65</v>
      </c>
      <c r="F423" s="1" t="s">
        <v>49</v>
      </c>
      <c r="G423">
        <v>1121</v>
      </c>
      <c r="H423" s="4">
        <v>50.46</v>
      </c>
      <c r="I423" s="4">
        <v>105</v>
      </c>
      <c r="J423" s="4">
        <v>80</v>
      </c>
      <c r="K423" s="4">
        <v>77.319999999999993</v>
      </c>
      <c r="L423" s="4">
        <v>161</v>
      </c>
      <c r="M423" s="4">
        <v>57</v>
      </c>
      <c r="N423" s="4">
        <v>92</v>
      </c>
      <c r="O423" s="4">
        <v>58</v>
      </c>
      <c r="P423" s="4">
        <v>43.399232521393003</v>
      </c>
      <c r="Q423" s="4">
        <v>63.760507536113003</v>
      </c>
      <c r="R423" s="4">
        <v>55</v>
      </c>
      <c r="S423" s="7" t="s">
        <v>33</v>
      </c>
      <c r="T423" s="4">
        <v>196825</v>
      </c>
      <c r="U423" s="4">
        <v>650138</v>
      </c>
      <c r="V423" s="4">
        <v>3297</v>
      </c>
      <c r="W423" s="4">
        <v>122400</v>
      </c>
      <c r="X423" s="4">
        <v>202938</v>
      </c>
      <c r="Y423" s="4">
        <v>447200</v>
      </c>
      <c r="Z423" s="4">
        <v>120000</v>
      </c>
      <c r="AA423" s="4">
        <v>2400</v>
      </c>
      <c r="AB423" s="4">
        <v>67888</v>
      </c>
      <c r="AC423" s="4">
        <v>1604231</v>
      </c>
      <c r="AD423" s="4">
        <v>227</v>
      </c>
      <c r="AE423" s="4">
        <v>5385</v>
      </c>
      <c r="AF423" s="4">
        <v>1677731</v>
      </c>
      <c r="AG423" s="6">
        <v>2584</v>
      </c>
      <c r="AH423" s="6">
        <v>2510</v>
      </c>
      <c r="AI423" s="6">
        <v>74</v>
      </c>
      <c r="AL423" s="4">
        <v>141</v>
      </c>
      <c r="AM423" s="4">
        <v>1984</v>
      </c>
      <c r="AN423" s="4">
        <v>311</v>
      </c>
      <c r="AO423" s="6">
        <v>304418</v>
      </c>
      <c r="AP423" s="6">
        <v>83225</v>
      </c>
      <c r="AQ423" s="6">
        <v>221193</v>
      </c>
      <c r="AS423" s="6">
        <v>57.3</v>
      </c>
      <c r="AT423" s="6">
        <v>17.7</v>
      </c>
      <c r="AV423" s="4">
        <v>18</v>
      </c>
      <c r="AW423" s="4">
        <v>31</v>
      </c>
    </row>
    <row r="424" spans="1:49" x14ac:dyDescent="0.2">
      <c r="A424" s="1">
        <v>44303</v>
      </c>
      <c r="B424">
        <f>B423</f>
        <v>-12.75</v>
      </c>
      <c r="C424" s="1" t="s">
        <v>57</v>
      </c>
      <c r="D424" s="1" t="s">
        <v>62</v>
      </c>
      <c r="E424" s="1" t="s">
        <v>65</v>
      </c>
      <c r="F424" s="1" t="s">
        <v>49</v>
      </c>
      <c r="G424">
        <v>1124</v>
      </c>
      <c r="H424" s="4">
        <v>44.35</v>
      </c>
      <c r="I424" s="4">
        <v>106</v>
      </c>
      <c r="J424" s="4">
        <v>78</v>
      </c>
      <c r="K424" s="4">
        <v>107.05</v>
      </c>
      <c r="L424" s="4">
        <v>133</v>
      </c>
      <c r="M424" s="4">
        <v>54</v>
      </c>
      <c r="N424" s="4">
        <v>94</v>
      </c>
      <c r="O424" s="4">
        <v>58</v>
      </c>
      <c r="P424" s="4">
        <v>41.011301165514602</v>
      </c>
      <c r="Q424" s="4">
        <v>58.855717835604402</v>
      </c>
      <c r="R424" s="4">
        <v>58</v>
      </c>
      <c r="S424" s="7" t="s">
        <v>33</v>
      </c>
      <c r="T424" s="4">
        <v>272888</v>
      </c>
      <c r="U424" s="4">
        <v>652738</v>
      </c>
      <c r="V424" s="4">
        <v>927</v>
      </c>
      <c r="W424" s="4">
        <v>122400</v>
      </c>
      <c r="X424" s="4">
        <v>202938</v>
      </c>
      <c r="Y424" s="4">
        <v>449800</v>
      </c>
      <c r="Z424" s="4">
        <v>120000</v>
      </c>
      <c r="AA424" s="4">
        <v>2400</v>
      </c>
      <c r="AB424" s="4">
        <v>65872</v>
      </c>
      <c r="AC424" s="4">
        <v>411797</v>
      </c>
      <c r="AD424" s="4">
        <v>927</v>
      </c>
      <c r="AE424" s="4">
        <v>13182</v>
      </c>
      <c r="AF424" s="4">
        <v>491778</v>
      </c>
      <c r="AG424" s="6">
        <v>1721</v>
      </c>
      <c r="AH424" s="6">
        <v>1677</v>
      </c>
      <c r="AI424" s="6">
        <v>44</v>
      </c>
      <c r="AL424" s="4">
        <v>159</v>
      </c>
      <c r="AM424" s="4">
        <v>2036</v>
      </c>
      <c r="AN424" s="4">
        <v>323</v>
      </c>
      <c r="AO424" s="6">
        <v>639080</v>
      </c>
      <c r="AP424" s="6">
        <v>139445</v>
      </c>
      <c r="AQ424" s="6">
        <v>499635</v>
      </c>
      <c r="AS424" s="6">
        <v>57.1</v>
      </c>
      <c r="AT424" s="6">
        <v>17.3</v>
      </c>
      <c r="AV424" s="4">
        <v>25</v>
      </c>
      <c r="AW424" s="4">
        <v>42</v>
      </c>
    </row>
    <row r="425" spans="1:49" x14ac:dyDescent="0.2">
      <c r="A425" s="1">
        <v>44302</v>
      </c>
      <c r="B425">
        <f t="shared" ref="B425:B429" si="59">B424</f>
        <v>-12.75</v>
      </c>
      <c r="C425" s="1" t="s">
        <v>57</v>
      </c>
      <c r="D425" s="1" t="s">
        <v>62</v>
      </c>
      <c r="E425" s="1" t="s">
        <v>65</v>
      </c>
      <c r="F425" s="1" t="s">
        <v>49</v>
      </c>
      <c r="G425">
        <v>1129</v>
      </c>
      <c r="H425" s="4">
        <v>46.37</v>
      </c>
      <c r="I425" s="4">
        <v>116</v>
      </c>
      <c r="J425" s="4">
        <v>47</v>
      </c>
      <c r="K425" s="4">
        <v>91.77</v>
      </c>
      <c r="L425" s="4">
        <v>133</v>
      </c>
      <c r="M425" s="4">
        <v>55</v>
      </c>
      <c r="N425" s="4">
        <v>97</v>
      </c>
      <c r="O425" s="4">
        <v>49</v>
      </c>
      <c r="P425" s="4">
        <v>33.885444815598802</v>
      </c>
      <c r="Q425" s="4">
        <v>51.094699842877503</v>
      </c>
      <c r="R425" s="4">
        <v>50</v>
      </c>
      <c r="S425" s="7" t="s">
        <v>33</v>
      </c>
      <c r="T425" s="4">
        <v>282026</v>
      </c>
      <c r="U425" s="4">
        <v>652738</v>
      </c>
      <c r="V425" s="4">
        <v>2302</v>
      </c>
      <c r="W425" s="4">
        <v>122400</v>
      </c>
      <c r="X425" s="4">
        <v>202938</v>
      </c>
      <c r="Y425" s="4">
        <v>449800</v>
      </c>
      <c r="Z425" s="4">
        <v>120000</v>
      </c>
      <c r="AA425" s="4">
        <v>2400</v>
      </c>
      <c r="AB425" s="4">
        <v>79761</v>
      </c>
      <c r="AC425" s="4">
        <v>588138</v>
      </c>
      <c r="AD425" s="4">
        <v>2116</v>
      </c>
      <c r="AE425" s="4">
        <v>12190</v>
      </c>
      <c r="AF425" s="4">
        <v>682205</v>
      </c>
      <c r="AG425" s="6">
        <v>2347</v>
      </c>
      <c r="AH425" s="6">
        <v>2275</v>
      </c>
      <c r="AI425" s="6">
        <v>72</v>
      </c>
      <c r="AL425" s="4">
        <v>160</v>
      </c>
      <c r="AM425" s="4">
        <v>2141</v>
      </c>
      <c r="AN425" s="4">
        <v>332</v>
      </c>
      <c r="AO425" s="6">
        <v>635221</v>
      </c>
      <c r="AP425" s="6">
        <v>135557</v>
      </c>
      <c r="AQ425" s="6">
        <v>499664</v>
      </c>
      <c r="AS425" s="6">
        <v>56.9</v>
      </c>
      <c r="AT425" s="6">
        <v>16.399999999999999</v>
      </c>
      <c r="AV425" s="4">
        <v>19</v>
      </c>
      <c r="AW425" s="4">
        <v>32</v>
      </c>
    </row>
    <row r="426" spans="1:49" x14ac:dyDescent="0.2">
      <c r="A426" s="1">
        <v>44301</v>
      </c>
      <c r="B426">
        <f t="shared" si="59"/>
        <v>-12.75</v>
      </c>
      <c r="C426" s="1" t="s">
        <v>57</v>
      </c>
      <c r="D426" s="1" t="s">
        <v>62</v>
      </c>
      <c r="E426" s="1" t="s">
        <v>65</v>
      </c>
      <c r="F426" s="1" t="s">
        <v>49</v>
      </c>
      <c r="G426">
        <v>1127</v>
      </c>
      <c r="H426" s="4">
        <v>33.79</v>
      </c>
      <c r="I426" s="4">
        <v>118</v>
      </c>
      <c r="J426" s="4">
        <v>45</v>
      </c>
      <c r="K426" s="4">
        <v>79.599999999999994</v>
      </c>
      <c r="L426" s="4">
        <v>113</v>
      </c>
      <c r="M426" s="4">
        <v>55</v>
      </c>
      <c r="N426" s="4">
        <v>93</v>
      </c>
      <c r="O426" s="4">
        <v>45</v>
      </c>
      <c r="P426" s="4">
        <v>32.415373277663299</v>
      </c>
      <c r="Q426" s="4">
        <v>47.695017842408902</v>
      </c>
      <c r="R426" s="4">
        <v>47</v>
      </c>
      <c r="S426" s="7" t="s">
        <v>33</v>
      </c>
      <c r="T426" s="4">
        <v>284589</v>
      </c>
      <c r="U426" s="4">
        <v>655338</v>
      </c>
      <c r="V426" s="4">
        <v>4496</v>
      </c>
      <c r="W426" s="4">
        <v>122400</v>
      </c>
      <c r="X426" s="4">
        <v>202938</v>
      </c>
      <c r="Y426" s="4">
        <v>452400</v>
      </c>
      <c r="Z426" s="4">
        <v>120000</v>
      </c>
      <c r="AA426" s="4">
        <v>2400</v>
      </c>
      <c r="AB426" s="4">
        <v>79648</v>
      </c>
      <c r="AC426" s="4">
        <v>895315</v>
      </c>
      <c r="AD426" s="4">
        <v>2301</v>
      </c>
      <c r="AE426" s="4">
        <v>14601</v>
      </c>
      <c r="AF426" s="4">
        <v>991865</v>
      </c>
      <c r="AG426" s="6">
        <v>2344</v>
      </c>
      <c r="AH426" s="6">
        <v>2259</v>
      </c>
      <c r="AI426" s="6">
        <v>85</v>
      </c>
      <c r="AL426" s="4">
        <v>161</v>
      </c>
      <c r="AM426" s="4">
        <v>2196</v>
      </c>
      <c r="AN426" s="4">
        <v>329</v>
      </c>
      <c r="AO426" s="6">
        <v>547465</v>
      </c>
      <c r="AP426" s="6">
        <v>129782</v>
      </c>
      <c r="AQ426" s="6">
        <v>417683</v>
      </c>
      <c r="AS426" s="6">
        <v>56.6</v>
      </c>
      <c r="AT426" s="6">
        <v>15.5</v>
      </c>
      <c r="AV426" s="4">
        <v>22</v>
      </c>
      <c r="AW426" s="4">
        <v>43</v>
      </c>
    </row>
    <row r="427" spans="1:49" x14ac:dyDescent="0.2">
      <c r="A427" s="1">
        <v>44300</v>
      </c>
      <c r="B427">
        <f t="shared" si="59"/>
        <v>-12.75</v>
      </c>
      <c r="C427" s="1" t="s">
        <v>57</v>
      </c>
      <c r="D427" s="1" t="s">
        <v>62</v>
      </c>
      <c r="E427" s="1" t="s">
        <v>65</v>
      </c>
      <c r="F427" s="1" t="s">
        <v>49</v>
      </c>
      <c r="G427">
        <v>1118</v>
      </c>
      <c r="H427" s="4">
        <v>34.04</v>
      </c>
      <c r="I427" s="4">
        <v>118</v>
      </c>
      <c r="J427" s="4">
        <v>44</v>
      </c>
      <c r="K427" s="4">
        <v>81.540000000000006</v>
      </c>
      <c r="L427" s="4">
        <v>132</v>
      </c>
      <c r="M427" s="4">
        <v>57</v>
      </c>
      <c r="N427" s="4">
        <v>94</v>
      </c>
      <c r="O427" s="4">
        <v>46</v>
      </c>
      <c r="P427" s="4">
        <v>32.022766589546499</v>
      </c>
      <c r="Q427" s="4">
        <v>49.840505834830097</v>
      </c>
      <c r="R427" s="4">
        <v>47</v>
      </c>
      <c r="S427" s="7" t="s">
        <v>33</v>
      </c>
      <c r="T427" s="4">
        <v>298937</v>
      </c>
      <c r="U427" s="4">
        <v>654438</v>
      </c>
      <c r="V427" s="4">
        <v>5352</v>
      </c>
      <c r="W427" s="4">
        <v>122400</v>
      </c>
      <c r="X427" s="4">
        <v>202938</v>
      </c>
      <c r="Y427" s="4">
        <v>451500</v>
      </c>
      <c r="Z427" s="4">
        <v>120000</v>
      </c>
      <c r="AA427" s="4">
        <v>2400</v>
      </c>
      <c r="AB427" s="4">
        <v>92292</v>
      </c>
      <c r="AC427" s="4">
        <v>1049408</v>
      </c>
      <c r="AD427" s="4">
        <v>2280</v>
      </c>
      <c r="AE427" s="4">
        <v>20135</v>
      </c>
      <c r="AF427" s="4">
        <v>1164115</v>
      </c>
      <c r="AG427" s="6">
        <v>2512</v>
      </c>
      <c r="AH427" s="6">
        <v>2433</v>
      </c>
      <c r="AI427" s="6">
        <v>79</v>
      </c>
      <c r="AL427" s="4">
        <v>196</v>
      </c>
      <c r="AM427" s="4">
        <v>2296</v>
      </c>
      <c r="AN427" s="4">
        <v>351</v>
      </c>
      <c r="AO427" s="6">
        <v>461618</v>
      </c>
      <c r="AP427" s="6">
        <v>117835</v>
      </c>
      <c r="AQ427" s="6">
        <v>343783</v>
      </c>
      <c r="AS427" s="6">
        <v>56.4</v>
      </c>
      <c r="AT427" s="6">
        <v>14.8</v>
      </c>
      <c r="AV427" s="4">
        <v>18</v>
      </c>
      <c r="AW427" s="4">
        <v>35</v>
      </c>
    </row>
    <row r="428" spans="1:49" x14ac:dyDescent="0.2">
      <c r="A428" s="1">
        <v>44299</v>
      </c>
      <c r="B428">
        <f t="shared" si="59"/>
        <v>-12.75</v>
      </c>
      <c r="C428" s="1" t="s">
        <v>57</v>
      </c>
      <c r="D428" s="1" t="s">
        <v>62</v>
      </c>
      <c r="E428" s="1" t="s">
        <v>65</v>
      </c>
      <c r="F428" s="1" t="s">
        <v>49</v>
      </c>
      <c r="G428">
        <v>1129</v>
      </c>
      <c r="H428" s="4">
        <v>35.76</v>
      </c>
      <c r="I428" s="4">
        <v>117</v>
      </c>
      <c r="J428" s="4">
        <v>43</v>
      </c>
      <c r="K428" s="4">
        <v>80.63</v>
      </c>
      <c r="L428" s="4">
        <v>128</v>
      </c>
      <c r="M428" s="4">
        <v>58</v>
      </c>
      <c r="N428" s="4">
        <v>93</v>
      </c>
      <c r="O428" s="4">
        <v>46</v>
      </c>
      <c r="P428" s="4">
        <v>31.761196864951199</v>
      </c>
      <c r="Q428" s="4">
        <v>49.724325833793699</v>
      </c>
      <c r="R428" s="4">
        <v>47</v>
      </c>
      <c r="S428" s="7" t="s">
        <v>33</v>
      </c>
      <c r="T428" s="4">
        <v>273326</v>
      </c>
      <c r="U428" s="4">
        <v>655438</v>
      </c>
      <c r="V428" s="4">
        <v>3753</v>
      </c>
      <c r="W428" s="4">
        <v>122400</v>
      </c>
      <c r="X428" s="4">
        <v>202938</v>
      </c>
      <c r="Y428" s="4">
        <v>452500</v>
      </c>
      <c r="Z428" s="4">
        <v>120000</v>
      </c>
      <c r="AA428" s="4">
        <v>2400</v>
      </c>
      <c r="AB428" s="4">
        <v>109284</v>
      </c>
      <c r="AC428" s="4">
        <v>560740</v>
      </c>
      <c r="AD428" s="4">
        <v>2010</v>
      </c>
      <c r="AE428" s="4">
        <v>12279</v>
      </c>
      <c r="AF428" s="4">
        <v>684313</v>
      </c>
      <c r="AG428" s="6">
        <v>2495</v>
      </c>
      <c r="AH428" s="6">
        <v>2402</v>
      </c>
      <c r="AI428" s="6">
        <v>93</v>
      </c>
      <c r="AL428" s="4">
        <v>182</v>
      </c>
      <c r="AM428" s="4">
        <v>2410</v>
      </c>
      <c r="AN428" s="4">
        <v>370</v>
      </c>
      <c r="AO428" s="6">
        <v>388808</v>
      </c>
      <c r="AP428" s="6">
        <v>76123</v>
      </c>
      <c r="AQ428" s="6">
        <v>312685</v>
      </c>
      <c r="AS428" s="6">
        <v>56.2</v>
      </c>
      <c r="AT428" s="6">
        <v>14.2</v>
      </c>
      <c r="AV428" s="4">
        <v>21</v>
      </c>
      <c r="AW428" s="4">
        <v>47</v>
      </c>
    </row>
    <row r="429" spans="1:49" x14ac:dyDescent="0.2">
      <c r="A429" s="1">
        <v>44298</v>
      </c>
      <c r="B429">
        <f t="shared" si="59"/>
        <v>-12.75</v>
      </c>
      <c r="C429" s="1" t="s">
        <v>57</v>
      </c>
      <c r="D429" s="1" t="s">
        <v>62</v>
      </c>
      <c r="E429" s="1" t="s">
        <v>65</v>
      </c>
      <c r="F429" s="1" t="s">
        <v>49</v>
      </c>
      <c r="G429">
        <v>1127</v>
      </c>
      <c r="H429" s="4">
        <v>47.36</v>
      </c>
      <c r="I429" s="4">
        <v>116</v>
      </c>
      <c r="J429" s="4">
        <v>44</v>
      </c>
      <c r="K429" s="4">
        <v>82.02</v>
      </c>
      <c r="L429" s="4">
        <v>136</v>
      </c>
      <c r="M429" s="4">
        <v>66</v>
      </c>
      <c r="N429" s="4">
        <v>95</v>
      </c>
      <c r="O429" s="4">
        <v>48</v>
      </c>
      <c r="P429" s="4">
        <v>33.9281853601994</v>
      </c>
      <c r="Q429" s="4">
        <v>52.237334885437903</v>
      </c>
      <c r="R429" s="4">
        <v>50</v>
      </c>
      <c r="S429" s="7" t="s">
        <v>33</v>
      </c>
      <c r="T429" s="4">
        <v>156031</v>
      </c>
      <c r="U429" s="4">
        <v>650438</v>
      </c>
      <c r="V429" s="4">
        <v>3392</v>
      </c>
      <c r="W429" s="4">
        <v>122400</v>
      </c>
      <c r="X429" s="4">
        <v>202938</v>
      </c>
      <c r="Y429" s="4">
        <v>447500</v>
      </c>
      <c r="Z429" s="4">
        <v>120000</v>
      </c>
      <c r="AA429" s="4">
        <v>2400</v>
      </c>
      <c r="AB429" s="4">
        <v>84977</v>
      </c>
      <c r="AC429" s="4">
        <v>785255</v>
      </c>
      <c r="AD429" s="4">
        <v>1874</v>
      </c>
      <c r="AE429" s="4">
        <v>12612</v>
      </c>
      <c r="AF429" s="4">
        <v>884718</v>
      </c>
      <c r="AG429" s="6">
        <v>2878</v>
      </c>
      <c r="AH429" s="6">
        <v>2783</v>
      </c>
      <c r="AI429" s="6">
        <v>95</v>
      </c>
      <c r="AL429" s="4">
        <v>205</v>
      </c>
      <c r="AM429" s="4">
        <v>2494</v>
      </c>
      <c r="AN429" s="4">
        <v>377</v>
      </c>
      <c r="AO429" s="6">
        <v>261096</v>
      </c>
      <c r="AP429" s="6">
        <v>59905</v>
      </c>
      <c r="AQ429" s="6">
        <v>201191</v>
      </c>
      <c r="AS429" s="6">
        <v>56.1</v>
      </c>
      <c r="AT429" s="6">
        <v>13.7</v>
      </c>
      <c r="AV429" s="4">
        <v>29</v>
      </c>
      <c r="AW429" s="4">
        <v>37</v>
      </c>
    </row>
    <row r="430" spans="1:49" x14ac:dyDescent="0.2">
      <c r="A430" s="1">
        <v>44297</v>
      </c>
      <c r="B430">
        <v>-11.61</v>
      </c>
      <c r="C430" s="1" t="s">
        <v>57</v>
      </c>
      <c r="D430" s="1" t="s">
        <v>62</v>
      </c>
      <c r="E430" s="1" t="s">
        <v>68</v>
      </c>
      <c r="F430" s="1" t="s">
        <v>49</v>
      </c>
      <c r="G430">
        <v>1126</v>
      </c>
      <c r="H430" s="4">
        <v>7.9999999999998295E-2</v>
      </c>
      <c r="I430" s="4">
        <v>108</v>
      </c>
      <c r="J430" s="4">
        <v>75</v>
      </c>
      <c r="K430" s="4">
        <v>61.03</v>
      </c>
      <c r="L430" s="4">
        <v>135</v>
      </c>
      <c r="M430" s="4">
        <v>39</v>
      </c>
      <c r="N430" s="4">
        <v>85</v>
      </c>
      <c r="O430" s="4">
        <v>46</v>
      </c>
      <c r="P430" s="4">
        <v>29.343019159604101</v>
      </c>
      <c r="Q430" s="4">
        <v>50.039000091233397</v>
      </c>
      <c r="R430" s="4">
        <v>42</v>
      </c>
      <c r="S430" s="7" t="s">
        <v>33</v>
      </c>
      <c r="T430" s="4">
        <v>174877</v>
      </c>
      <c r="U430" s="4">
        <v>648538</v>
      </c>
      <c r="V430" s="4">
        <v>515</v>
      </c>
      <c r="W430" s="4">
        <v>122400</v>
      </c>
      <c r="X430" s="4">
        <v>202938</v>
      </c>
      <c r="Y430" s="4">
        <v>445600</v>
      </c>
      <c r="Z430" s="4">
        <v>120000</v>
      </c>
      <c r="AA430" s="4">
        <v>2400</v>
      </c>
      <c r="AB430" s="4">
        <v>63488</v>
      </c>
      <c r="AC430" s="4">
        <v>1143447</v>
      </c>
      <c r="AD430" s="4">
        <v>515</v>
      </c>
      <c r="AE430" s="4">
        <v>11474</v>
      </c>
      <c r="AF430" s="4">
        <v>1218924</v>
      </c>
      <c r="AG430" s="6">
        <v>2376</v>
      </c>
      <c r="AH430" s="6">
        <v>2334</v>
      </c>
      <c r="AI430" s="6">
        <v>42</v>
      </c>
      <c r="AL430" s="4">
        <v>205</v>
      </c>
      <c r="AM430" s="4">
        <v>2551</v>
      </c>
      <c r="AN430" s="4">
        <v>385</v>
      </c>
      <c r="AO430" s="6">
        <v>258888</v>
      </c>
      <c r="AP430" s="6">
        <v>69223</v>
      </c>
      <c r="AQ430" s="6">
        <v>189665</v>
      </c>
      <c r="AS430" s="6">
        <v>56</v>
      </c>
      <c r="AT430" s="6">
        <v>13.3</v>
      </c>
      <c r="AV430" s="4">
        <v>24</v>
      </c>
      <c r="AW430" s="4">
        <v>41</v>
      </c>
    </row>
    <row r="431" spans="1:49" x14ac:dyDescent="0.2">
      <c r="A431" s="1">
        <v>44296</v>
      </c>
      <c r="B431">
        <f>B430</f>
        <v>-11.61</v>
      </c>
      <c r="C431" s="1" t="s">
        <v>57</v>
      </c>
      <c r="D431" s="1" t="s">
        <v>62</v>
      </c>
      <c r="E431" s="1" t="s">
        <v>68</v>
      </c>
      <c r="F431" s="1" t="s">
        <v>49</v>
      </c>
      <c r="G431">
        <v>1131</v>
      </c>
      <c r="H431" s="4">
        <v>1.9999999999996E-2</v>
      </c>
      <c r="I431" s="4">
        <v>112</v>
      </c>
      <c r="J431" s="4">
        <v>72</v>
      </c>
      <c r="K431" s="4">
        <v>63.04</v>
      </c>
      <c r="L431" s="4">
        <v>80</v>
      </c>
      <c r="M431" s="4">
        <v>34</v>
      </c>
      <c r="N431" s="4">
        <v>87</v>
      </c>
      <c r="O431" s="4">
        <v>42</v>
      </c>
      <c r="P431" s="4">
        <v>23.3118038261665</v>
      </c>
      <c r="Q431" s="4">
        <v>43.663451498502099</v>
      </c>
      <c r="R431" s="4">
        <v>35</v>
      </c>
      <c r="S431" s="7" t="s">
        <v>33</v>
      </c>
      <c r="T431" s="4">
        <v>273500</v>
      </c>
      <c r="U431" s="4">
        <v>649538</v>
      </c>
      <c r="V431" s="4">
        <v>915</v>
      </c>
      <c r="W431" s="4">
        <v>122400</v>
      </c>
      <c r="X431" s="4">
        <v>202938</v>
      </c>
      <c r="Y431" s="4">
        <v>446600</v>
      </c>
      <c r="Z431" s="4">
        <v>120000</v>
      </c>
      <c r="AA431" s="4">
        <v>2400</v>
      </c>
      <c r="AB431" s="4">
        <v>75591</v>
      </c>
      <c r="AC431" s="4">
        <v>392004</v>
      </c>
      <c r="AD431" s="4">
        <v>915</v>
      </c>
      <c r="AE431" s="4">
        <v>13247</v>
      </c>
      <c r="AF431" s="4">
        <v>481757</v>
      </c>
      <c r="AG431" s="6">
        <v>2380</v>
      </c>
      <c r="AH431" s="6">
        <v>2333</v>
      </c>
      <c r="AI431" s="6">
        <v>47</v>
      </c>
      <c r="AL431" s="4">
        <v>186</v>
      </c>
      <c r="AM431" s="4">
        <v>2652</v>
      </c>
      <c r="AN431" s="4">
        <v>385</v>
      </c>
      <c r="AO431" s="6">
        <v>586339</v>
      </c>
      <c r="AP431" s="6">
        <v>111109</v>
      </c>
      <c r="AQ431" s="6">
        <v>475230</v>
      </c>
      <c r="AS431" s="6">
        <v>55.9</v>
      </c>
      <c r="AT431" s="6">
        <v>13</v>
      </c>
      <c r="AV431" s="4">
        <v>25</v>
      </c>
      <c r="AW431" s="4">
        <v>43</v>
      </c>
    </row>
    <row r="432" spans="1:49" x14ac:dyDescent="0.2">
      <c r="A432" s="1">
        <v>44295</v>
      </c>
      <c r="B432">
        <f t="shared" ref="B432:B436" si="60">B431</f>
        <v>-11.61</v>
      </c>
      <c r="C432" s="1" t="s">
        <v>57</v>
      </c>
      <c r="D432" s="1" t="s">
        <v>62</v>
      </c>
      <c r="E432" s="1" t="s">
        <v>68</v>
      </c>
      <c r="F432" s="1" t="s">
        <v>49</v>
      </c>
      <c r="G432">
        <v>1113</v>
      </c>
      <c r="H432" s="4">
        <v>7.9999999999998295E-2</v>
      </c>
      <c r="I432" s="4">
        <v>120</v>
      </c>
      <c r="J432" s="4">
        <v>45</v>
      </c>
      <c r="K432" s="4">
        <v>67.94</v>
      </c>
      <c r="L432" s="4">
        <v>132</v>
      </c>
      <c r="M432" s="4">
        <v>39</v>
      </c>
      <c r="N432" s="4">
        <v>93</v>
      </c>
      <c r="O432" s="4">
        <v>42</v>
      </c>
      <c r="P432" s="4">
        <v>24.746755153815499</v>
      </c>
      <c r="Q432" s="4">
        <v>41.999383647587699</v>
      </c>
      <c r="R432" s="4">
        <v>35</v>
      </c>
      <c r="S432" s="7" t="s">
        <v>33</v>
      </c>
      <c r="T432" s="4">
        <v>311945</v>
      </c>
      <c r="U432" s="4">
        <v>649138</v>
      </c>
      <c r="V432" s="4">
        <v>4990</v>
      </c>
      <c r="W432" s="4">
        <v>122400</v>
      </c>
      <c r="X432" s="4">
        <v>202938</v>
      </c>
      <c r="Y432" s="4">
        <v>446200</v>
      </c>
      <c r="Z432" s="4">
        <v>120000</v>
      </c>
      <c r="AA432" s="4">
        <v>2400</v>
      </c>
      <c r="AB432" s="4">
        <v>84218</v>
      </c>
      <c r="AC432" s="4">
        <v>575712</v>
      </c>
      <c r="AD432" s="4">
        <v>2805</v>
      </c>
      <c r="AE432" s="4">
        <v>16179</v>
      </c>
      <c r="AF432" s="4">
        <v>678914</v>
      </c>
      <c r="AG432" s="6">
        <v>2952</v>
      </c>
      <c r="AH432" s="6">
        <v>2876</v>
      </c>
      <c r="AI432" s="6">
        <v>76</v>
      </c>
      <c r="AL432" s="4">
        <v>206</v>
      </c>
      <c r="AM432" s="4">
        <v>2794</v>
      </c>
      <c r="AN432" s="4">
        <v>405</v>
      </c>
      <c r="AO432" s="6">
        <v>557014</v>
      </c>
      <c r="AP432" s="6">
        <v>106878</v>
      </c>
      <c r="AQ432" s="6">
        <v>450136</v>
      </c>
      <c r="AS432" s="6">
        <v>55.7</v>
      </c>
      <c r="AT432" s="6">
        <v>12.2</v>
      </c>
      <c r="AV432" s="4">
        <v>26</v>
      </c>
      <c r="AW432" s="4">
        <v>38</v>
      </c>
    </row>
    <row r="433" spans="1:49" x14ac:dyDescent="0.2">
      <c r="A433" s="1">
        <v>44294</v>
      </c>
      <c r="B433">
        <f t="shared" si="60"/>
        <v>-11.61</v>
      </c>
      <c r="C433" s="1" t="s">
        <v>57</v>
      </c>
      <c r="D433" s="1" t="s">
        <v>62</v>
      </c>
      <c r="E433" s="1" t="s">
        <v>68</v>
      </c>
      <c r="F433" s="1" t="s">
        <v>49</v>
      </c>
      <c r="G433">
        <v>1080</v>
      </c>
      <c r="H433" s="4">
        <v>1.9999999999996E-2</v>
      </c>
      <c r="I433" s="4">
        <v>121</v>
      </c>
      <c r="J433" s="4">
        <v>42</v>
      </c>
      <c r="K433" s="4">
        <v>64.08</v>
      </c>
      <c r="L433" s="4">
        <v>127</v>
      </c>
      <c r="M433" s="4">
        <v>41</v>
      </c>
      <c r="N433" s="4">
        <v>90</v>
      </c>
      <c r="O433" s="4">
        <v>39</v>
      </c>
      <c r="P433" s="4">
        <v>24.622874422321001</v>
      </c>
      <c r="Q433" s="4">
        <v>41.555833348231197</v>
      </c>
      <c r="R433" s="4">
        <v>34</v>
      </c>
      <c r="S433" s="7" t="s">
        <v>33</v>
      </c>
      <c r="T433" s="4">
        <v>322147</v>
      </c>
      <c r="U433" s="4">
        <v>648345</v>
      </c>
      <c r="V433" s="4">
        <v>5233</v>
      </c>
      <c r="W433" s="4">
        <v>122400</v>
      </c>
      <c r="X433" s="4">
        <v>202745</v>
      </c>
      <c r="Y433" s="4">
        <v>445600</v>
      </c>
      <c r="Z433" s="4">
        <v>120000</v>
      </c>
      <c r="AA433" s="4">
        <v>2400</v>
      </c>
      <c r="AB433" s="4">
        <v>88247</v>
      </c>
      <c r="AC433" s="4">
        <v>824848</v>
      </c>
      <c r="AD433" s="4">
        <v>2498</v>
      </c>
      <c r="AE433" s="4">
        <v>19511</v>
      </c>
      <c r="AF433" s="4">
        <v>935104</v>
      </c>
      <c r="AG433" s="6">
        <v>3147</v>
      </c>
      <c r="AH433" s="6">
        <v>3057</v>
      </c>
      <c r="AI433" s="6">
        <v>90</v>
      </c>
      <c r="AL433" s="4">
        <v>207</v>
      </c>
      <c r="AM433" s="4">
        <v>2873</v>
      </c>
      <c r="AN433" s="4">
        <v>421</v>
      </c>
      <c r="AO433" s="6">
        <v>545511</v>
      </c>
      <c r="AP433" s="6">
        <v>96242</v>
      </c>
      <c r="AQ433" s="6">
        <v>449269</v>
      </c>
      <c r="AS433" s="6">
        <v>55.5</v>
      </c>
      <c r="AT433" s="6">
        <v>11.4</v>
      </c>
      <c r="AV433" s="4">
        <v>36</v>
      </c>
      <c r="AW433" s="4">
        <v>62</v>
      </c>
    </row>
    <row r="434" spans="1:49" x14ac:dyDescent="0.2">
      <c r="A434" s="1">
        <v>44293</v>
      </c>
      <c r="B434">
        <f t="shared" si="60"/>
        <v>-11.61</v>
      </c>
      <c r="C434" s="1" t="s">
        <v>57</v>
      </c>
      <c r="D434" s="1" t="s">
        <v>62</v>
      </c>
      <c r="E434" s="1" t="s">
        <v>68</v>
      </c>
      <c r="F434" s="1" t="s">
        <v>49</v>
      </c>
      <c r="G434">
        <v>1054</v>
      </c>
      <c r="H434" s="4">
        <v>0</v>
      </c>
      <c r="I434" s="4">
        <v>121</v>
      </c>
      <c r="J434" s="4">
        <v>42</v>
      </c>
      <c r="K434" s="4">
        <v>62.76</v>
      </c>
      <c r="L434" s="4">
        <v>112</v>
      </c>
      <c r="M434" s="4">
        <v>40</v>
      </c>
      <c r="N434" s="4">
        <v>88</v>
      </c>
      <c r="O434" s="4">
        <v>39</v>
      </c>
      <c r="P434" s="4">
        <v>24.801946672295799</v>
      </c>
      <c r="Q434" s="4">
        <v>40.385329675428899</v>
      </c>
      <c r="R434" s="4">
        <v>35</v>
      </c>
      <c r="S434" s="7" t="s">
        <v>33</v>
      </c>
      <c r="T434" s="4">
        <v>293441</v>
      </c>
      <c r="U434" s="4">
        <v>646945</v>
      </c>
      <c r="V434" s="4">
        <v>5104</v>
      </c>
      <c r="W434" s="4">
        <v>122400</v>
      </c>
      <c r="X434" s="4">
        <v>202745</v>
      </c>
      <c r="Y434" s="4">
        <v>444200</v>
      </c>
      <c r="Z434" s="4">
        <v>120000</v>
      </c>
      <c r="AA434" s="4">
        <v>2400</v>
      </c>
      <c r="AB434" s="4">
        <v>91326</v>
      </c>
      <c r="AC434" s="4">
        <v>921483</v>
      </c>
      <c r="AD434" s="4">
        <v>2354</v>
      </c>
      <c r="AE434" s="4">
        <v>21088</v>
      </c>
      <c r="AF434" s="4">
        <v>1036251</v>
      </c>
      <c r="AG434" s="6">
        <v>3253</v>
      </c>
      <c r="AH434" s="6">
        <v>3170</v>
      </c>
      <c r="AI434" s="6">
        <v>83</v>
      </c>
      <c r="AL434" s="4">
        <v>235</v>
      </c>
      <c r="AM434" s="4">
        <v>3020</v>
      </c>
      <c r="AN434" s="4">
        <v>440</v>
      </c>
      <c r="AO434" s="6">
        <v>507926</v>
      </c>
      <c r="AP434" s="6">
        <v>99530</v>
      </c>
      <c r="AQ434" s="6">
        <v>408396</v>
      </c>
      <c r="AS434" s="6">
        <v>55.3</v>
      </c>
      <c r="AT434" s="6">
        <v>10.6</v>
      </c>
      <c r="AV434" s="4">
        <v>28</v>
      </c>
      <c r="AW434" s="4">
        <v>45</v>
      </c>
    </row>
    <row r="435" spans="1:49" x14ac:dyDescent="0.2">
      <c r="A435" s="1">
        <v>44292</v>
      </c>
      <c r="B435">
        <f t="shared" si="60"/>
        <v>-11.61</v>
      </c>
      <c r="C435" s="1" t="s">
        <v>57</v>
      </c>
      <c r="D435" s="1" t="s">
        <v>62</v>
      </c>
      <c r="E435" s="1" t="s">
        <v>68</v>
      </c>
      <c r="F435" s="1" t="s">
        <v>49</v>
      </c>
      <c r="G435">
        <v>1038</v>
      </c>
      <c r="H435" s="4">
        <v>0</v>
      </c>
      <c r="I435" s="4">
        <v>121</v>
      </c>
      <c r="J435" s="4">
        <v>40</v>
      </c>
      <c r="K435" s="4">
        <v>61.56</v>
      </c>
      <c r="L435" s="4">
        <v>114</v>
      </c>
      <c r="M435" s="4">
        <v>41</v>
      </c>
      <c r="N435" s="4">
        <v>90</v>
      </c>
      <c r="O435" s="4">
        <v>39</v>
      </c>
      <c r="P435" s="4">
        <v>24.167503610388099</v>
      </c>
      <c r="Q435" s="4">
        <v>42.230242994410098</v>
      </c>
      <c r="R435" s="4">
        <v>35</v>
      </c>
      <c r="S435" s="7" t="s">
        <v>33</v>
      </c>
      <c r="T435" s="4">
        <v>203122</v>
      </c>
      <c r="U435" s="4">
        <v>646045</v>
      </c>
      <c r="V435" s="4">
        <v>2307</v>
      </c>
      <c r="W435" s="4">
        <v>122400</v>
      </c>
      <c r="X435" s="4">
        <v>202745</v>
      </c>
      <c r="Y435" s="4">
        <v>443300</v>
      </c>
      <c r="Z435" s="4">
        <v>120000</v>
      </c>
      <c r="AA435" s="4">
        <v>2400</v>
      </c>
      <c r="AB435" s="4">
        <v>92634</v>
      </c>
      <c r="AC435" s="4">
        <v>529472</v>
      </c>
      <c r="AD435" s="4">
        <v>2215</v>
      </c>
      <c r="AE435" s="4">
        <v>11162</v>
      </c>
      <c r="AF435" s="4">
        <v>635483</v>
      </c>
      <c r="AG435" s="6">
        <v>3312</v>
      </c>
      <c r="AH435" s="6">
        <v>3221</v>
      </c>
      <c r="AI435" s="6">
        <v>91</v>
      </c>
      <c r="AL435" s="4">
        <v>223</v>
      </c>
      <c r="AM435" s="4">
        <v>3144</v>
      </c>
      <c r="AN435" s="4">
        <v>453</v>
      </c>
      <c r="AO435" s="6">
        <v>272020</v>
      </c>
      <c r="AP435" s="6">
        <v>85227</v>
      </c>
      <c r="AQ435" s="6">
        <v>186793</v>
      </c>
      <c r="AS435" s="6">
        <v>55.1</v>
      </c>
      <c r="AT435" s="6">
        <v>9.9</v>
      </c>
      <c r="AV435" s="4">
        <v>28</v>
      </c>
      <c r="AW435" s="4">
        <v>45</v>
      </c>
    </row>
    <row r="436" spans="1:49" x14ac:dyDescent="0.2">
      <c r="A436" s="1">
        <v>44291</v>
      </c>
      <c r="B436">
        <f t="shared" si="60"/>
        <v>-11.61</v>
      </c>
      <c r="C436" s="1" t="s">
        <v>57</v>
      </c>
      <c r="D436" s="1" t="s">
        <v>62</v>
      </c>
      <c r="E436" s="1" t="s">
        <v>68</v>
      </c>
      <c r="F436" s="1" t="s">
        <v>49</v>
      </c>
      <c r="G436">
        <v>1024</v>
      </c>
      <c r="H436" s="4">
        <v>0</v>
      </c>
      <c r="I436" s="4">
        <v>126</v>
      </c>
      <c r="J436" s="4">
        <v>21</v>
      </c>
      <c r="K436" s="4">
        <v>52.2</v>
      </c>
      <c r="L436" s="4">
        <v>148</v>
      </c>
      <c r="M436" s="4">
        <v>39</v>
      </c>
      <c r="N436" s="4">
        <v>82</v>
      </c>
      <c r="O436" s="4">
        <v>28</v>
      </c>
      <c r="P436" s="4">
        <v>12.799017263836101</v>
      </c>
      <c r="Q436" s="4">
        <v>26.866835327234998</v>
      </c>
      <c r="R436" s="4">
        <v>35</v>
      </c>
      <c r="S436" s="7" t="s">
        <v>33</v>
      </c>
      <c r="T436" s="4">
        <v>133001</v>
      </c>
      <c r="U436" s="4">
        <v>645945</v>
      </c>
      <c r="V436" s="4">
        <v>440</v>
      </c>
      <c r="W436" s="4">
        <v>122400</v>
      </c>
      <c r="X436" s="4">
        <v>202745</v>
      </c>
      <c r="Y436" s="4">
        <v>443200</v>
      </c>
      <c r="Z436" s="4">
        <v>120000</v>
      </c>
      <c r="AA436" s="4">
        <v>2400</v>
      </c>
      <c r="AB436" s="4">
        <v>77750</v>
      </c>
      <c r="AC436" s="4">
        <v>667650</v>
      </c>
      <c r="AD436" s="4">
        <v>440</v>
      </c>
      <c r="AE436" s="4">
        <v>559</v>
      </c>
      <c r="AF436" s="4">
        <v>746399</v>
      </c>
      <c r="AG436" s="6">
        <v>2744</v>
      </c>
      <c r="AH436" s="6">
        <v>2681</v>
      </c>
      <c r="AI436" s="6">
        <v>63</v>
      </c>
      <c r="AL436" s="4">
        <v>238</v>
      </c>
      <c r="AM436" s="4">
        <v>3256</v>
      </c>
      <c r="AN436" s="4">
        <v>461</v>
      </c>
      <c r="AO436" s="6">
        <v>105334</v>
      </c>
      <c r="AP436" s="6">
        <v>40744</v>
      </c>
      <c r="AQ436" s="6">
        <v>64590</v>
      </c>
      <c r="AS436" s="6">
        <v>55</v>
      </c>
      <c r="AT436" s="6">
        <v>9.6</v>
      </c>
      <c r="AV436" s="4">
        <v>18</v>
      </c>
      <c r="AW436" s="4">
        <v>45</v>
      </c>
    </row>
    <row r="437" spans="1:49" x14ac:dyDescent="0.2">
      <c r="A437" s="1">
        <v>44290</v>
      </c>
      <c r="B437">
        <v>-18.690000000000001</v>
      </c>
      <c r="C437" s="1" t="s">
        <v>57</v>
      </c>
      <c r="D437" s="1" t="s">
        <v>62</v>
      </c>
      <c r="E437" s="1" t="s">
        <v>68</v>
      </c>
      <c r="F437" s="1" t="s">
        <v>49</v>
      </c>
      <c r="G437">
        <v>1041</v>
      </c>
      <c r="H437" s="4">
        <v>0</v>
      </c>
      <c r="I437" s="4">
        <v>106</v>
      </c>
      <c r="J437" s="4">
        <v>69</v>
      </c>
      <c r="K437" s="4">
        <v>56.55</v>
      </c>
      <c r="L437" s="4">
        <v>181</v>
      </c>
      <c r="M437" s="4">
        <v>31</v>
      </c>
      <c r="N437" s="4">
        <v>64</v>
      </c>
      <c r="O437" s="4">
        <v>47</v>
      </c>
      <c r="P437" s="4">
        <v>29.205119260156099</v>
      </c>
      <c r="Q437" s="4">
        <v>47.105201736617502</v>
      </c>
      <c r="R437" s="4">
        <v>41</v>
      </c>
      <c r="S437" s="7" t="s">
        <v>33</v>
      </c>
      <c r="T437" s="4">
        <v>165204</v>
      </c>
      <c r="U437" s="4">
        <v>633145</v>
      </c>
      <c r="V437" s="4">
        <v>378</v>
      </c>
      <c r="W437" s="4">
        <v>122400</v>
      </c>
      <c r="X437" s="4">
        <v>202745</v>
      </c>
      <c r="Y437" s="4">
        <v>430400</v>
      </c>
      <c r="Z437" s="4">
        <v>120000</v>
      </c>
      <c r="AA437" s="4">
        <v>2400</v>
      </c>
      <c r="AB437" s="4">
        <v>65190</v>
      </c>
      <c r="AC437" s="4">
        <v>739343</v>
      </c>
      <c r="AD437" s="4">
        <v>378</v>
      </c>
      <c r="AE437" s="4">
        <v>10769</v>
      </c>
      <c r="AF437" s="4">
        <v>815680</v>
      </c>
      <c r="AG437" s="6">
        <v>2412</v>
      </c>
      <c r="AH437" s="6">
        <v>2366</v>
      </c>
      <c r="AI437" s="6">
        <v>46</v>
      </c>
      <c r="AL437" s="4">
        <v>197</v>
      </c>
      <c r="AM437" s="4">
        <v>3230</v>
      </c>
      <c r="AN437" s="4">
        <v>469</v>
      </c>
      <c r="AO437" s="6">
        <v>95763</v>
      </c>
      <c r="AP437" s="6">
        <v>48055</v>
      </c>
      <c r="AQ437" s="6">
        <v>47708</v>
      </c>
      <c r="AS437" s="6">
        <v>54.9</v>
      </c>
      <c r="AT437" s="6">
        <v>9.4</v>
      </c>
      <c r="AV437" s="4">
        <v>27</v>
      </c>
      <c r="AW437" s="4">
        <v>53</v>
      </c>
    </row>
    <row r="438" spans="1:49" x14ac:dyDescent="0.2">
      <c r="A438" s="1">
        <v>44289</v>
      </c>
      <c r="B438">
        <f>B437</f>
        <v>-18.690000000000001</v>
      </c>
      <c r="C438" s="1" t="s">
        <v>57</v>
      </c>
      <c r="D438" s="1" t="s">
        <v>62</v>
      </c>
      <c r="E438" s="1" t="s">
        <v>68</v>
      </c>
      <c r="F438" s="1" t="s">
        <v>49</v>
      </c>
      <c r="G438">
        <v>1043</v>
      </c>
      <c r="H438" s="4">
        <v>1.9999999999996E-2</v>
      </c>
      <c r="I438" s="4">
        <v>111</v>
      </c>
      <c r="J438" s="4">
        <v>66</v>
      </c>
      <c r="K438" s="4">
        <v>63.38</v>
      </c>
      <c r="L438" s="4">
        <v>99</v>
      </c>
      <c r="M438" s="4">
        <v>35</v>
      </c>
      <c r="N438" s="4">
        <v>93</v>
      </c>
      <c r="O438" s="4">
        <v>41</v>
      </c>
      <c r="P438" s="4">
        <v>22.380904308035099</v>
      </c>
      <c r="Q438" s="4">
        <v>44.665900856306003</v>
      </c>
      <c r="R438" s="4">
        <v>36</v>
      </c>
      <c r="S438" s="7" t="s">
        <v>33</v>
      </c>
      <c r="T438" s="4">
        <v>217134</v>
      </c>
      <c r="U438" s="4">
        <v>631845</v>
      </c>
      <c r="V438" s="4">
        <v>535</v>
      </c>
      <c r="W438" s="4">
        <v>122400</v>
      </c>
      <c r="X438" s="4">
        <v>202745</v>
      </c>
      <c r="Y438" s="4">
        <v>429100</v>
      </c>
      <c r="Z438" s="4">
        <v>120000</v>
      </c>
      <c r="AA438" s="4">
        <v>2400</v>
      </c>
      <c r="AB438" s="4">
        <v>59637</v>
      </c>
      <c r="AC438" s="4">
        <v>333933</v>
      </c>
      <c r="AD438" s="4">
        <v>535</v>
      </c>
      <c r="AE438" s="4">
        <v>12903</v>
      </c>
      <c r="AF438" s="4">
        <v>407008</v>
      </c>
      <c r="AG438" s="6">
        <v>2506</v>
      </c>
      <c r="AH438" s="6">
        <v>2478</v>
      </c>
      <c r="AI438" s="6">
        <v>28</v>
      </c>
      <c r="AL438" s="4">
        <v>222</v>
      </c>
      <c r="AM438" s="4">
        <v>3245</v>
      </c>
      <c r="AN438" s="4">
        <v>478</v>
      </c>
      <c r="AO438" s="6">
        <v>286799</v>
      </c>
      <c r="AP438" s="6">
        <v>107886</v>
      </c>
      <c r="AQ438" s="6">
        <v>178913</v>
      </c>
      <c r="AS438" s="6">
        <v>54.8</v>
      </c>
      <c r="AT438" s="6">
        <v>9.4</v>
      </c>
      <c r="AV438" s="4">
        <v>31</v>
      </c>
      <c r="AW438" s="4">
        <v>41</v>
      </c>
    </row>
    <row r="439" spans="1:49" x14ac:dyDescent="0.2">
      <c r="A439" s="1">
        <v>44288</v>
      </c>
      <c r="B439">
        <f t="shared" ref="B439:B443" si="61">B438</f>
        <v>-18.690000000000001</v>
      </c>
      <c r="C439" s="1" t="s">
        <v>57</v>
      </c>
      <c r="D439" s="1" t="s">
        <v>62</v>
      </c>
      <c r="E439" s="1" t="s">
        <v>68</v>
      </c>
      <c r="F439" s="1" t="s">
        <v>49</v>
      </c>
      <c r="G439">
        <v>1046</v>
      </c>
      <c r="H439" s="4">
        <v>0</v>
      </c>
      <c r="I439" s="4">
        <v>126</v>
      </c>
      <c r="J439" s="4">
        <v>26</v>
      </c>
      <c r="K439" s="4">
        <v>66.06</v>
      </c>
      <c r="L439" s="4">
        <v>145</v>
      </c>
      <c r="M439" s="4">
        <v>38</v>
      </c>
      <c r="N439" s="4">
        <v>94</v>
      </c>
      <c r="O439" s="4">
        <v>33</v>
      </c>
      <c r="P439" s="4">
        <v>16.4575354066194</v>
      </c>
      <c r="Q439" s="4">
        <v>33.5027111719454</v>
      </c>
      <c r="R439" s="4">
        <v>39</v>
      </c>
      <c r="S439" s="7" t="s">
        <v>33</v>
      </c>
      <c r="T439" s="4">
        <v>281554</v>
      </c>
      <c r="U439" s="4">
        <v>631545</v>
      </c>
      <c r="V439" s="4">
        <v>1215</v>
      </c>
      <c r="W439" s="4">
        <v>122400</v>
      </c>
      <c r="X439" s="4">
        <v>202745</v>
      </c>
      <c r="Y439" s="4">
        <v>428800</v>
      </c>
      <c r="Z439" s="4">
        <v>120000</v>
      </c>
      <c r="AA439" s="4">
        <v>2400</v>
      </c>
      <c r="AB439" s="4">
        <v>58360</v>
      </c>
      <c r="AC439" s="4">
        <v>481181</v>
      </c>
      <c r="AD439" s="4">
        <v>1215</v>
      </c>
      <c r="AE439" s="4">
        <v>12718</v>
      </c>
      <c r="AF439" s="4">
        <v>553474</v>
      </c>
      <c r="AG439" s="6">
        <v>2747</v>
      </c>
      <c r="AH439" s="6">
        <v>2701</v>
      </c>
      <c r="AI439" s="6">
        <v>46</v>
      </c>
      <c r="AL439" s="4">
        <v>237</v>
      </c>
      <c r="AM439" s="4">
        <v>3377</v>
      </c>
      <c r="AN439" s="4">
        <v>485</v>
      </c>
      <c r="AO439" s="6">
        <v>354051</v>
      </c>
      <c r="AP439" s="6">
        <v>107420</v>
      </c>
      <c r="AQ439" s="6">
        <v>246631</v>
      </c>
      <c r="AS439" s="6">
        <v>54.6</v>
      </c>
      <c r="AT439" s="6">
        <v>9.1</v>
      </c>
      <c r="AV439" s="4">
        <v>31</v>
      </c>
      <c r="AW439" s="4">
        <v>50</v>
      </c>
    </row>
    <row r="440" spans="1:49" x14ac:dyDescent="0.2">
      <c r="A440" s="1">
        <v>44287</v>
      </c>
      <c r="B440">
        <f t="shared" si="61"/>
        <v>-18.690000000000001</v>
      </c>
      <c r="C440" s="1" t="s">
        <v>57</v>
      </c>
      <c r="D440" s="1" t="s">
        <v>62</v>
      </c>
      <c r="E440" s="1" t="s">
        <v>68</v>
      </c>
      <c r="F440" s="1" t="s">
        <v>49</v>
      </c>
      <c r="G440">
        <v>1068</v>
      </c>
      <c r="H440" s="4">
        <v>0</v>
      </c>
      <c r="I440" s="4">
        <v>118</v>
      </c>
      <c r="J440" s="4">
        <v>46</v>
      </c>
      <c r="K440" s="4">
        <v>66.069999999999993</v>
      </c>
      <c r="L440" s="4">
        <v>147</v>
      </c>
      <c r="M440" s="4">
        <v>46</v>
      </c>
      <c r="N440" s="4">
        <v>106</v>
      </c>
      <c r="O440" s="4">
        <v>43</v>
      </c>
      <c r="P440" s="4">
        <v>25.8099160560161</v>
      </c>
      <c r="Q440" s="4">
        <v>47.923161111374498</v>
      </c>
      <c r="R440" s="4">
        <v>38</v>
      </c>
      <c r="S440" s="7" t="s">
        <v>33</v>
      </c>
      <c r="T440" s="4">
        <v>299523</v>
      </c>
      <c r="U440" s="4">
        <v>653528</v>
      </c>
      <c r="V440" s="4">
        <v>4931</v>
      </c>
      <c r="W440" s="4">
        <v>122400</v>
      </c>
      <c r="X440" s="4">
        <v>202628</v>
      </c>
      <c r="Y440" s="4">
        <v>450900</v>
      </c>
      <c r="Z440" s="4">
        <v>120000</v>
      </c>
      <c r="AA440" s="4">
        <v>2400</v>
      </c>
      <c r="AB440" s="4">
        <v>83589</v>
      </c>
      <c r="AC440" s="4">
        <v>851448</v>
      </c>
      <c r="AD440" s="4">
        <v>2520</v>
      </c>
      <c r="AE440" s="4">
        <v>16227</v>
      </c>
      <c r="AF440" s="4">
        <v>953784</v>
      </c>
      <c r="AG440" s="6">
        <v>3674</v>
      </c>
      <c r="AH440" s="6">
        <v>3600</v>
      </c>
      <c r="AI440" s="6">
        <v>74</v>
      </c>
      <c r="AL440" s="4">
        <v>234</v>
      </c>
      <c r="AM440" s="4">
        <v>3558</v>
      </c>
      <c r="AN440" s="4">
        <v>517</v>
      </c>
      <c r="AO440" s="6">
        <v>616234</v>
      </c>
      <c r="AP440" s="6">
        <v>170818</v>
      </c>
      <c r="AQ440" s="6">
        <v>445416</v>
      </c>
      <c r="AS440" s="6">
        <v>54.5</v>
      </c>
      <c r="AT440" s="6">
        <v>8.6</v>
      </c>
      <c r="AV440" s="4">
        <v>32</v>
      </c>
      <c r="AW440" s="4">
        <v>63</v>
      </c>
    </row>
    <row r="441" spans="1:49" x14ac:dyDescent="0.2">
      <c r="A441" s="1">
        <v>44286</v>
      </c>
      <c r="B441">
        <f t="shared" si="61"/>
        <v>-18.690000000000001</v>
      </c>
      <c r="C441" s="1" t="s">
        <v>57</v>
      </c>
      <c r="D441" s="1" t="s">
        <v>62</v>
      </c>
      <c r="E441" s="1" t="s">
        <v>68</v>
      </c>
      <c r="F441" s="1" t="s">
        <v>49</v>
      </c>
      <c r="G441">
        <v>1081</v>
      </c>
      <c r="H441" s="4">
        <v>1.00000000000051E-2</v>
      </c>
      <c r="I441" s="4">
        <v>118</v>
      </c>
      <c r="J441" s="4">
        <v>49</v>
      </c>
      <c r="K441" s="4">
        <v>69.400000000000006</v>
      </c>
      <c r="L441" s="4">
        <v>160</v>
      </c>
      <c r="M441" s="4">
        <v>43</v>
      </c>
      <c r="N441" s="4">
        <v>96</v>
      </c>
      <c r="O441" s="4">
        <v>44</v>
      </c>
      <c r="P441" s="4">
        <v>26.263915972283101</v>
      </c>
      <c r="Q441" s="4">
        <v>50.911538931953899</v>
      </c>
      <c r="R441" s="4">
        <v>38</v>
      </c>
      <c r="S441" s="7" t="s">
        <v>33</v>
      </c>
      <c r="T441" s="4">
        <v>308156</v>
      </c>
      <c r="U441" s="4">
        <v>683323</v>
      </c>
      <c r="V441" s="4">
        <v>3675</v>
      </c>
      <c r="W441" s="4">
        <v>122400</v>
      </c>
      <c r="X441" s="4">
        <v>202628</v>
      </c>
      <c r="Y441" s="4">
        <v>477300</v>
      </c>
      <c r="Z441" s="4">
        <v>120000</v>
      </c>
      <c r="AA441" s="4">
        <v>5795</v>
      </c>
      <c r="AB441" s="4">
        <v>86521</v>
      </c>
      <c r="AC441" s="4">
        <v>1155454</v>
      </c>
      <c r="AD441" s="4">
        <v>2044</v>
      </c>
      <c r="AE441" s="4">
        <v>23462</v>
      </c>
      <c r="AF441" s="4">
        <v>1267481</v>
      </c>
      <c r="AG441" s="6">
        <v>3967</v>
      </c>
      <c r="AH441" s="6">
        <v>3899</v>
      </c>
      <c r="AI441" s="6">
        <v>68</v>
      </c>
      <c r="AL441" s="4">
        <v>270</v>
      </c>
      <c r="AM441" s="4">
        <v>3743</v>
      </c>
      <c r="AN441" s="4">
        <v>547</v>
      </c>
      <c r="AO441" s="6">
        <v>627008</v>
      </c>
      <c r="AP441" s="6">
        <v>239434</v>
      </c>
      <c r="AQ441" s="6">
        <v>387574</v>
      </c>
      <c r="AS441" s="6">
        <v>54.2</v>
      </c>
      <c r="AT441" s="6">
        <v>7.8</v>
      </c>
      <c r="AV441" s="4">
        <v>39</v>
      </c>
      <c r="AW441" s="4">
        <v>74</v>
      </c>
    </row>
    <row r="442" spans="1:49" x14ac:dyDescent="0.2">
      <c r="A442" s="1">
        <v>44285</v>
      </c>
      <c r="B442">
        <f t="shared" si="61"/>
        <v>-18.690000000000001</v>
      </c>
      <c r="C442" s="1" t="s">
        <v>57</v>
      </c>
      <c r="D442" s="1" t="s">
        <v>62</v>
      </c>
      <c r="E442" s="1" t="s">
        <v>68</v>
      </c>
      <c r="F442" s="1" t="s">
        <v>49</v>
      </c>
      <c r="G442">
        <v>1083</v>
      </c>
      <c r="H442" s="4">
        <v>0</v>
      </c>
      <c r="I442" s="4">
        <v>116</v>
      </c>
      <c r="J442" s="4">
        <v>48</v>
      </c>
      <c r="K442" s="4">
        <v>78.52</v>
      </c>
      <c r="L442" s="4">
        <v>218</v>
      </c>
      <c r="M442" s="4">
        <v>45</v>
      </c>
      <c r="N442" s="4">
        <v>96</v>
      </c>
      <c r="O442" s="4">
        <v>45</v>
      </c>
      <c r="P442" s="4">
        <v>27.614481034600399</v>
      </c>
      <c r="Q442" s="4">
        <v>53.207942022721703</v>
      </c>
      <c r="R442" s="4">
        <v>41</v>
      </c>
      <c r="S442" s="7" t="s">
        <v>33</v>
      </c>
      <c r="T442" s="4">
        <v>311086</v>
      </c>
      <c r="U442" s="4">
        <v>767273</v>
      </c>
      <c r="V442" s="4">
        <v>4242</v>
      </c>
      <c r="W442" s="4">
        <v>122400</v>
      </c>
      <c r="X442" s="4">
        <v>202628</v>
      </c>
      <c r="Y442" s="4">
        <v>562000</v>
      </c>
      <c r="Z442" s="4">
        <v>120000</v>
      </c>
      <c r="AA442" s="4">
        <v>5045</v>
      </c>
      <c r="AB442" s="4">
        <v>101861</v>
      </c>
      <c r="AC442" s="4">
        <v>580385</v>
      </c>
      <c r="AD442" s="4">
        <v>2348</v>
      </c>
      <c r="AE442" s="4">
        <v>17368</v>
      </c>
      <c r="AF442" s="4">
        <v>701962</v>
      </c>
      <c r="AG442" s="6">
        <v>3779</v>
      </c>
      <c r="AH442" s="6">
        <v>3702</v>
      </c>
      <c r="AI442" s="6">
        <v>77</v>
      </c>
      <c r="AL442" s="4">
        <v>257</v>
      </c>
      <c r="AM442" s="4">
        <v>3977</v>
      </c>
      <c r="AN442" s="4">
        <v>568</v>
      </c>
      <c r="AO442" s="6">
        <v>503599</v>
      </c>
      <c r="AP442" s="6">
        <v>225917</v>
      </c>
      <c r="AQ442" s="6">
        <v>277682</v>
      </c>
      <c r="AS442" s="6">
        <v>53.7</v>
      </c>
      <c r="AT442" s="6">
        <v>7.2</v>
      </c>
      <c r="AV442" s="4">
        <v>43</v>
      </c>
      <c r="AW442" s="4">
        <v>54</v>
      </c>
    </row>
    <row r="443" spans="1:49" x14ac:dyDescent="0.2">
      <c r="A443" s="1">
        <v>44284</v>
      </c>
      <c r="B443">
        <f t="shared" si="61"/>
        <v>-18.690000000000001</v>
      </c>
      <c r="C443" s="1" t="s">
        <v>57</v>
      </c>
      <c r="D443" s="1" t="s">
        <v>62</v>
      </c>
      <c r="E443" s="1" t="s">
        <v>68</v>
      </c>
      <c r="F443" s="1" t="s">
        <v>49</v>
      </c>
      <c r="G443">
        <v>1098</v>
      </c>
      <c r="H443" s="4">
        <v>1.00000000000051E-2</v>
      </c>
      <c r="I443" s="4">
        <v>117</v>
      </c>
      <c r="J443" s="4">
        <v>48</v>
      </c>
      <c r="K443" s="4">
        <v>65.44</v>
      </c>
      <c r="L443" s="4">
        <v>198</v>
      </c>
      <c r="M443" s="4">
        <v>47</v>
      </c>
      <c r="N443" s="4">
        <v>95</v>
      </c>
      <c r="O443" s="4">
        <v>44</v>
      </c>
      <c r="P443" s="4">
        <v>25.954483350603201</v>
      </c>
      <c r="Q443" s="4">
        <v>51.841856092268998</v>
      </c>
      <c r="R443" s="4">
        <v>38</v>
      </c>
      <c r="S443" s="7" t="s">
        <v>33</v>
      </c>
      <c r="T443" s="4">
        <v>175473</v>
      </c>
      <c r="U443" s="4">
        <v>790860</v>
      </c>
      <c r="V443" s="4">
        <v>1419</v>
      </c>
      <c r="W443" s="4">
        <v>122400</v>
      </c>
      <c r="X443" s="4">
        <v>202398</v>
      </c>
      <c r="Y443" s="4">
        <v>583700</v>
      </c>
      <c r="Z443" s="4">
        <v>120000</v>
      </c>
      <c r="AA443" s="4">
        <v>7162</v>
      </c>
      <c r="AB443" s="4">
        <v>89694</v>
      </c>
      <c r="AC443" s="4">
        <v>875539</v>
      </c>
      <c r="AD443" s="4">
        <v>1329</v>
      </c>
      <c r="AE443" s="4">
        <v>15021</v>
      </c>
      <c r="AF443" s="4">
        <v>981583</v>
      </c>
      <c r="AG443" s="6">
        <v>4196</v>
      </c>
      <c r="AH443" s="6">
        <v>4113</v>
      </c>
      <c r="AI443" s="6">
        <v>83</v>
      </c>
      <c r="AL443" s="4">
        <v>251</v>
      </c>
      <c r="AM443" s="4">
        <v>4198</v>
      </c>
      <c r="AN443" s="4">
        <v>583</v>
      </c>
      <c r="AO443" s="6">
        <v>405039</v>
      </c>
      <c r="AP443" s="6">
        <v>236809</v>
      </c>
      <c r="AQ443" s="6">
        <v>168230</v>
      </c>
      <c r="AS443" s="6">
        <v>53.4</v>
      </c>
      <c r="AT443" s="6">
        <v>6.7</v>
      </c>
      <c r="AV443" s="4">
        <v>36</v>
      </c>
      <c r="AW443" s="4">
        <v>71</v>
      </c>
    </row>
    <row r="444" spans="1:49" x14ac:dyDescent="0.2">
      <c r="A444" s="1">
        <v>44283</v>
      </c>
      <c r="B444">
        <v>-5.31</v>
      </c>
      <c r="C444" s="1" t="s">
        <v>57</v>
      </c>
      <c r="D444" s="1" t="s">
        <v>62</v>
      </c>
      <c r="E444" s="1" t="s">
        <v>67</v>
      </c>
      <c r="F444" s="1" t="s">
        <v>49</v>
      </c>
      <c r="G444">
        <v>1068</v>
      </c>
      <c r="H444" s="4">
        <v>0</v>
      </c>
      <c r="I444" s="4">
        <v>111</v>
      </c>
      <c r="J444" s="4">
        <v>70</v>
      </c>
      <c r="K444" s="4">
        <v>50.14</v>
      </c>
      <c r="L444" s="4">
        <v>101</v>
      </c>
      <c r="M444" s="4">
        <v>34</v>
      </c>
      <c r="N444" s="4">
        <v>80</v>
      </c>
      <c r="O444" s="4">
        <v>39</v>
      </c>
      <c r="P444" s="4">
        <v>21.725910269301501</v>
      </c>
      <c r="Q444" s="4">
        <v>44.139899464121598</v>
      </c>
      <c r="R444" s="4">
        <v>32</v>
      </c>
      <c r="S444" s="7" t="s">
        <v>33</v>
      </c>
      <c r="T444" s="4">
        <v>198058</v>
      </c>
      <c r="U444" s="4">
        <v>774984</v>
      </c>
      <c r="V444" s="4">
        <v>2206</v>
      </c>
      <c r="W444" s="4">
        <v>122400</v>
      </c>
      <c r="X444" s="4">
        <v>202398</v>
      </c>
      <c r="Y444" s="4">
        <v>567900</v>
      </c>
      <c r="Z444" s="4">
        <v>120000</v>
      </c>
      <c r="AA444" s="4">
        <v>7086</v>
      </c>
      <c r="AB444" s="4">
        <v>63807</v>
      </c>
      <c r="AC444" s="4">
        <v>1559664</v>
      </c>
      <c r="AD444" s="4">
        <v>2082</v>
      </c>
      <c r="AE444" s="4">
        <v>19295</v>
      </c>
      <c r="AF444" s="4">
        <v>1644848</v>
      </c>
      <c r="AG444" s="6">
        <v>5029</v>
      </c>
      <c r="AH444" s="6">
        <v>4959</v>
      </c>
      <c r="AI444" s="6">
        <v>70</v>
      </c>
      <c r="AL444" s="4">
        <v>273</v>
      </c>
      <c r="AM444" s="4">
        <v>4186</v>
      </c>
      <c r="AN444" s="4">
        <v>582</v>
      </c>
      <c r="AO444" s="6">
        <v>441142</v>
      </c>
      <c r="AP444" s="6">
        <v>293548</v>
      </c>
      <c r="AQ444" s="6">
        <v>147594</v>
      </c>
      <c r="AS444" s="6">
        <v>52.9</v>
      </c>
      <c r="AT444" s="6">
        <v>6.4</v>
      </c>
      <c r="AV444" s="4">
        <v>34</v>
      </c>
      <c r="AW444" s="4">
        <v>49</v>
      </c>
    </row>
    <row r="445" spans="1:49" x14ac:dyDescent="0.2">
      <c r="A445" s="1">
        <v>44282</v>
      </c>
      <c r="B445">
        <f>B444</f>
        <v>-5.31</v>
      </c>
      <c r="C445" s="1" t="s">
        <v>57</v>
      </c>
      <c r="D445" s="1" t="s">
        <v>62</v>
      </c>
      <c r="E445" s="1" t="s">
        <v>67</v>
      </c>
      <c r="F445" s="1" t="s">
        <v>49</v>
      </c>
      <c r="G445">
        <v>1038</v>
      </c>
      <c r="H445" s="4">
        <v>3.0000000000001099E-2</v>
      </c>
      <c r="I445" s="4">
        <v>112</v>
      </c>
      <c r="J445" s="4">
        <v>72</v>
      </c>
      <c r="K445" s="4">
        <v>73.11</v>
      </c>
      <c r="L445" s="4">
        <v>112</v>
      </c>
      <c r="M445" s="4">
        <v>38</v>
      </c>
      <c r="N445" s="4">
        <v>91</v>
      </c>
      <c r="O445" s="4">
        <v>43</v>
      </c>
      <c r="P445" s="4">
        <v>22.9157239005023</v>
      </c>
      <c r="Q445" s="4">
        <v>46.077681921836202</v>
      </c>
      <c r="R445" s="4">
        <v>34</v>
      </c>
      <c r="S445" s="7" t="s">
        <v>33</v>
      </c>
      <c r="T445" s="4">
        <v>288902</v>
      </c>
      <c r="U445" s="4">
        <v>776984</v>
      </c>
      <c r="V445" s="4">
        <v>1832</v>
      </c>
      <c r="W445" s="4">
        <v>122400</v>
      </c>
      <c r="X445" s="4">
        <v>202398</v>
      </c>
      <c r="Y445" s="4">
        <v>568900</v>
      </c>
      <c r="Z445" s="4">
        <v>120000</v>
      </c>
      <c r="AA445" s="4">
        <v>8086</v>
      </c>
      <c r="AB445" s="4">
        <v>68877</v>
      </c>
      <c r="AC445" s="4">
        <v>380684</v>
      </c>
      <c r="AD445" s="4">
        <v>950</v>
      </c>
      <c r="AE445" s="4">
        <v>21092</v>
      </c>
      <c r="AF445" s="4">
        <v>471603</v>
      </c>
      <c r="AG445" s="6">
        <v>3731</v>
      </c>
      <c r="AH445" s="6">
        <v>3683</v>
      </c>
      <c r="AI445" s="6">
        <v>48</v>
      </c>
      <c r="AL445" s="4">
        <v>273</v>
      </c>
      <c r="AM445" s="4">
        <v>4437</v>
      </c>
      <c r="AN445" s="4">
        <v>594</v>
      </c>
      <c r="AO445" s="6">
        <v>663162</v>
      </c>
      <c r="AP445" s="6">
        <v>424301</v>
      </c>
      <c r="AQ445" s="6">
        <v>238861</v>
      </c>
      <c r="AS445" s="6">
        <v>52.4</v>
      </c>
      <c r="AT445" s="6">
        <v>6.1</v>
      </c>
      <c r="AV445" s="4">
        <v>39</v>
      </c>
      <c r="AW445" s="4">
        <v>64</v>
      </c>
    </row>
    <row r="446" spans="1:49" x14ac:dyDescent="0.2">
      <c r="A446" s="1">
        <v>44281</v>
      </c>
      <c r="B446">
        <f t="shared" ref="B446:B450" si="62">B445</f>
        <v>-5.31</v>
      </c>
      <c r="C446" s="1" t="s">
        <v>57</v>
      </c>
      <c r="D446" s="1" t="s">
        <v>62</v>
      </c>
      <c r="E446" s="1" t="s">
        <v>67</v>
      </c>
      <c r="F446" s="1" t="s">
        <v>49</v>
      </c>
      <c r="G446">
        <v>1028</v>
      </c>
      <c r="H446" s="4">
        <v>1.00000000000051E-2</v>
      </c>
      <c r="I446" s="4">
        <v>121</v>
      </c>
      <c r="J446" s="4">
        <v>50</v>
      </c>
      <c r="K446" s="4">
        <v>55.54</v>
      </c>
      <c r="L446" s="4">
        <v>86</v>
      </c>
      <c r="M446" s="4">
        <v>36</v>
      </c>
      <c r="N446" s="4">
        <v>92</v>
      </c>
      <c r="O446" s="4">
        <v>41</v>
      </c>
      <c r="P446" s="4">
        <v>23.5523417043987</v>
      </c>
      <c r="Q446" s="4">
        <v>49.619564139784998</v>
      </c>
      <c r="R446" s="4">
        <v>30</v>
      </c>
      <c r="S446" s="7" t="s">
        <v>33</v>
      </c>
      <c r="T446" s="4">
        <v>296639</v>
      </c>
      <c r="U446" s="4">
        <v>784107</v>
      </c>
      <c r="V446" s="4">
        <v>2765</v>
      </c>
      <c r="W446" s="4">
        <v>122400</v>
      </c>
      <c r="X446" s="4">
        <v>202398</v>
      </c>
      <c r="Y446" s="4">
        <v>572100</v>
      </c>
      <c r="Z446" s="4">
        <v>120000</v>
      </c>
      <c r="AA446" s="4">
        <v>12009</v>
      </c>
      <c r="AB446" s="4">
        <v>79173</v>
      </c>
      <c r="AC446" s="4">
        <v>616377</v>
      </c>
      <c r="AD446" s="4">
        <v>1939</v>
      </c>
      <c r="AE446" s="4">
        <v>25554</v>
      </c>
      <c r="AF446" s="4">
        <v>723043</v>
      </c>
      <c r="AG446" s="6">
        <v>4567</v>
      </c>
      <c r="AH446" s="6">
        <v>4506</v>
      </c>
      <c r="AI446" s="6">
        <v>61</v>
      </c>
      <c r="AL446" s="4">
        <v>298</v>
      </c>
      <c r="AM446" s="4">
        <v>4486</v>
      </c>
      <c r="AN446" s="4">
        <v>615</v>
      </c>
      <c r="AO446" s="6">
        <v>694959</v>
      </c>
      <c r="AP446" s="6">
        <v>411305</v>
      </c>
      <c r="AQ446" s="6">
        <v>283654</v>
      </c>
      <c r="AS446" s="6">
        <v>51.7</v>
      </c>
      <c r="AT446" s="6">
        <v>5.7</v>
      </c>
      <c r="AV446" s="4">
        <v>48</v>
      </c>
      <c r="AW446" s="4">
        <v>75</v>
      </c>
    </row>
    <row r="447" spans="1:49" x14ac:dyDescent="0.2">
      <c r="A447" s="1">
        <v>44280</v>
      </c>
      <c r="B447">
        <f t="shared" si="62"/>
        <v>-5.31</v>
      </c>
      <c r="C447" s="1" t="s">
        <v>57</v>
      </c>
      <c r="D447" s="1" t="s">
        <v>62</v>
      </c>
      <c r="E447" s="1" t="s">
        <v>67</v>
      </c>
      <c r="F447" s="1" t="s">
        <v>49</v>
      </c>
      <c r="G447">
        <v>1014</v>
      </c>
      <c r="H447" s="4">
        <v>0</v>
      </c>
      <c r="I447" s="4">
        <v>121</v>
      </c>
      <c r="J447" s="4">
        <v>48</v>
      </c>
      <c r="K447" s="4">
        <v>52.96</v>
      </c>
      <c r="L447" s="4">
        <v>107</v>
      </c>
      <c r="M447" s="4">
        <v>38</v>
      </c>
      <c r="N447" s="4">
        <v>91</v>
      </c>
      <c r="O447" s="4">
        <v>40</v>
      </c>
      <c r="P447" s="4">
        <v>23.758340805467299</v>
      </c>
      <c r="Q447" s="4">
        <v>49.874209881907397</v>
      </c>
      <c r="R447" s="4">
        <v>29</v>
      </c>
      <c r="S447" s="7" t="s">
        <v>33</v>
      </c>
      <c r="T447" s="4">
        <v>334531</v>
      </c>
      <c r="U447" s="4">
        <v>782830</v>
      </c>
      <c r="V447" s="4">
        <v>3889</v>
      </c>
      <c r="W447" s="4">
        <v>122400</v>
      </c>
      <c r="X447" s="4">
        <v>202473</v>
      </c>
      <c r="Y447" s="4">
        <v>572100</v>
      </c>
      <c r="Z447" s="4">
        <v>120000</v>
      </c>
      <c r="AA447" s="4">
        <v>10657</v>
      </c>
      <c r="AB447" s="4">
        <v>85228</v>
      </c>
      <c r="AC447" s="4">
        <v>1163972</v>
      </c>
      <c r="AD447" s="4">
        <v>2379</v>
      </c>
      <c r="AE447" s="4">
        <v>24090</v>
      </c>
      <c r="AF447" s="4">
        <v>1275669</v>
      </c>
      <c r="AG447" s="6">
        <v>5616</v>
      </c>
      <c r="AH447" s="6">
        <v>5534</v>
      </c>
      <c r="AI447" s="6">
        <v>82</v>
      </c>
      <c r="AL447" s="4">
        <v>341</v>
      </c>
      <c r="AM447" s="4">
        <v>4584</v>
      </c>
      <c r="AN447" s="4">
        <v>630</v>
      </c>
      <c r="AO447" s="6">
        <v>559324</v>
      </c>
      <c r="AP447" s="6">
        <v>324942</v>
      </c>
      <c r="AQ447" s="6">
        <v>234382</v>
      </c>
      <c r="AS447" s="6">
        <v>51</v>
      </c>
      <c r="AT447" s="6">
        <v>5.2</v>
      </c>
      <c r="AV447" s="4">
        <v>46</v>
      </c>
      <c r="AW447" s="4">
        <v>79</v>
      </c>
    </row>
    <row r="448" spans="1:49" x14ac:dyDescent="0.2">
      <c r="A448" s="1">
        <v>44279</v>
      </c>
      <c r="B448">
        <f t="shared" si="62"/>
        <v>-5.31</v>
      </c>
      <c r="C448" s="1" t="s">
        <v>57</v>
      </c>
      <c r="D448" s="1" t="s">
        <v>62</v>
      </c>
      <c r="E448" s="1" t="s">
        <v>67</v>
      </c>
      <c r="F448" s="1" t="s">
        <v>49</v>
      </c>
      <c r="G448">
        <v>1007</v>
      </c>
      <c r="H448" s="4">
        <v>0</v>
      </c>
      <c r="I448" s="4">
        <v>120</v>
      </c>
      <c r="J448" s="4">
        <v>49</v>
      </c>
      <c r="K448" s="4">
        <v>54.48</v>
      </c>
      <c r="L448" s="4">
        <v>115</v>
      </c>
      <c r="M448" s="4">
        <v>39</v>
      </c>
      <c r="N448" s="4">
        <v>89</v>
      </c>
      <c r="O448" s="4">
        <v>40</v>
      </c>
      <c r="P448" s="4">
        <v>23.723008934941699</v>
      </c>
      <c r="Q448" s="4">
        <v>49.467607735029603</v>
      </c>
      <c r="R448" s="4">
        <v>29</v>
      </c>
      <c r="S448" s="7" t="s">
        <v>33</v>
      </c>
      <c r="T448" s="4">
        <v>372693</v>
      </c>
      <c r="U448" s="4">
        <v>785559</v>
      </c>
      <c r="V448" s="4">
        <v>4395</v>
      </c>
      <c r="W448" s="4">
        <v>122400</v>
      </c>
      <c r="X448" s="4">
        <v>202473</v>
      </c>
      <c r="Y448" s="4">
        <v>571600</v>
      </c>
      <c r="Z448" s="4">
        <v>120000</v>
      </c>
      <c r="AA448" s="4">
        <v>13886</v>
      </c>
      <c r="AB448" s="4">
        <v>93993</v>
      </c>
      <c r="AC448" s="4">
        <v>1685906</v>
      </c>
      <c r="AD448" s="4">
        <v>2112</v>
      </c>
      <c r="AE448" s="4">
        <v>30571</v>
      </c>
      <c r="AF448" s="4">
        <v>1812582</v>
      </c>
      <c r="AG448" s="6">
        <v>6222</v>
      </c>
      <c r="AH448" s="6">
        <v>6129</v>
      </c>
      <c r="AI448" s="6">
        <v>93</v>
      </c>
      <c r="AL448" s="4">
        <v>350</v>
      </c>
      <c r="AM448" s="4">
        <v>4881</v>
      </c>
      <c r="AN448" s="4">
        <v>682</v>
      </c>
      <c r="AO448" s="6">
        <v>580307</v>
      </c>
      <c r="AP448" s="6">
        <v>337665</v>
      </c>
      <c r="AQ448" s="6">
        <v>242642</v>
      </c>
      <c r="AS448" s="6">
        <v>50.4</v>
      </c>
      <c r="AT448" s="6">
        <v>4.8</v>
      </c>
      <c r="AV448" s="4">
        <v>41</v>
      </c>
      <c r="AW448" s="4">
        <v>70</v>
      </c>
    </row>
    <row r="449" spans="1:49" x14ac:dyDescent="0.2">
      <c r="A449" s="1">
        <v>44278</v>
      </c>
      <c r="B449">
        <f t="shared" si="62"/>
        <v>-5.31</v>
      </c>
      <c r="C449" s="1" t="s">
        <v>57</v>
      </c>
      <c r="D449" s="1" t="s">
        <v>62</v>
      </c>
      <c r="E449" s="1" t="s">
        <v>67</v>
      </c>
      <c r="F449" s="1" t="s">
        <v>49</v>
      </c>
      <c r="G449">
        <v>1000</v>
      </c>
      <c r="H449" s="4">
        <v>1.00000000000051E-2</v>
      </c>
      <c r="I449" s="4">
        <v>119</v>
      </c>
      <c r="J449" s="4">
        <v>47</v>
      </c>
      <c r="K449" s="4">
        <v>55.31</v>
      </c>
      <c r="L449" s="4">
        <v>125</v>
      </c>
      <c r="M449" s="4">
        <v>40</v>
      </c>
      <c r="N449" s="4">
        <v>89</v>
      </c>
      <c r="O449" s="4">
        <v>41</v>
      </c>
      <c r="P449" s="4">
        <v>24.2066625071216</v>
      </c>
      <c r="Q449" s="4">
        <v>50.227152151551202</v>
      </c>
      <c r="R449" s="4">
        <v>30</v>
      </c>
      <c r="S449" s="7" t="s">
        <v>33</v>
      </c>
      <c r="T449" s="4">
        <v>320691</v>
      </c>
      <c r="U449" s="4">
        <v>777081</v>
      </c>
      <c r="V449" s="4">
        <v>5084</v>
      </c>
      <c r="W449" s="4">
        <v>122400</v>
      </c>
      <c r="X449" s="4">
        <v>202473</v>
      </c>
      <c r="Y449" s="4">
        <v>566400</v>
      </c>
      <c r="Z449" s="4">
        <v>120000</v>
      </c>
      <c r="AA449" s="4">
        <v>10608</v>
      </c>
      <c r="AB449" s="4">
        <v>102826</v>
      </c>
      <c r="AC449" s="4">
        <v>721036</v>
      </c>
      <c r="AD449" s="4">
        <v>2272</v>
      </c>
      <c r="AE449" s="4">
        <v>22844</v>
      </c>
      <c r="AF449" s="4">
        <v>848978</v>
      </c>
      <c r="AG449" s="6">
        <v>5481</v>
      </c>
      <c r="AH449" s="6">
        <v>5398</v>
      </c>
      <c r="AI449" s="6">
        <v>83</v>
      </c>
      <c r="AL449" s="4">
        <v>368</v>
      </c>
      <c r="AM449" s="4">
        <v>5151</v>
      </c>
      <c r="AN449" s="4">
        <v>711</v>
      </c>
      <c r="AO449" s="6">
        <v>494805</v>
      </c>
      <c r="AP449" s="6">
        <v>325650</v>
      </c>
      <c r="AQ449" s="6">
        <v>169155</v>
      </c>
      <c r="AS449" s="6">
        <v>49.8</v>
      </c>
      <c r="AT449" s="6">
        <v>4.4000000000000004</v>
      </c>
      <c r="AV449" s="4">
        <v>52</v>
      </c>
      <c r="AW449" s="4">
        <v>94</v>
      </c>
    </row>
    <row r="450" spans="1:49" x14ac:dyDescent="0.2">
      <c r="A450" s="1">
        <v>44277</v>
      </c>
      <c r="B450">
        <f t="shared" si="62"/>
        <v>-5.31</v>
      </c>
      <c r="C450" s="1" t="s">
        <v>57</v>
      </c>
      <c r="D450" s="1" t="s">
        <v>62</v>
      </c>
      <c r="E450" s="1" t="s">
        <v>67</v>
      </c>
      <c r="F450" s="1" t="s">
        <v>49</v>
      </c>
      <c r="G450">
        <v>989</v>
      </c>
      <c r="H450" s="4">
        <v>0</v>
      </c>
      <c r="I450" s="4">
        <v>118</v>
      </c>
      <c r="J450" s="4">
        <v>48</v>
      </c>
      <c r="K450" s="4">
        <v>56.03</v>
      </c>
      <c r="L450" s="4">
        <v>158</v>
      </c>
      <c r="M450" s="4">
        <v>44</v>
      </c>
      <c r="N450" s="4">
        <v>92</v>
      </c>
      <c r="O450" s="4">
        <v>42</v>
      </c>
      <c r="P450" s="4">
        <v>24.8101060550519</v>
      </c>
      <c r="Q450" s="4">
        <v>50.931184915145501</v>
      </c>
      <c r="R450" s="4">
        <v>32</v>
      </c>
      <c r="S450" s="7" t="s">
        <v>33</v>
      </c>
      <c r="T450" s="4">
        <v>196776</v>
      </c>
      <c r="U450" s="4">
        <v>780851</v>
      </c>
      <c r="V450" s="4">
        <v>5869</v>
      </c>
      <c r="W450" s="4">
        <v>122400</v>
      </c>
      <c r="X450" s="4">
        <v>202473</v>
      </c>
      <c r="Y450" s="4">
        <v>566000</v>
      </c>
      <c r="Z450" s="4">
        <v>120000</v>
      </c>
      <c r="AA450" s="4">
        <v>14778</v>
      </c>
      <c r="AB450" s="4">
        <v>87436</v>
      </c>
      <c r="AC450" s="4">
        <v>1090436</v>
      </c>
      <c r="AD450" s="4">
        <v>2602</v>
      </c>
      <c r="AE450" s="4">
        <v>25275</v>
      </c>
      <c r="AF450" s="4">
        <v>1205749</v>
      </c>
      <c r="AG450" s="6">
        <v>6458</v>
      </c>
      <c r="AH450" s="6">
        <v>6378</v>
      </c>
      <c r="AI450" s="6">
        <v>80</v>
      </c>
      <c r="AL450" s="4">
        <v>361</v>
      </c>
      <c r="AM450" s="4">
        <v>5432</v>
      </c>
      <c r="AN450" s="4">
        <v>748</v>
      </c>
      <c r="AO450" s="6">
        <v>412197</v>
      </c>
      <c r="AP450" s="6">
        <v>329897</v>
      </c>
      <c r="AQ450" s="6">
        <v>82300</v>
      </c>
      <c r="AS450" s="6">
        <v>49.3</v>
      </c>
      <c r="AT450" s="6">
        <v>4.0999999999999996</v>
      </c>
      <c r="AV450" s="4">
        <v>68</v>
      </c>
      <c r="AW450" s="4">
        <v>108</v>
      </c>
    </row>
    <row r="451" spans="1:49" x14ac:dyDescent="0.2">
      <c r="A451" s="1">
        <v>44276</v>
      </c>
      <c r="B451">
        <v>-8.57</v>
      </c>
      <c r="C451" s="1" t="s">
        <v>59</v>
      </c>
      <c r="D451" s="1" t="s">
        <v>62</v>
      </c>
      <c r="E451" s="1" t="s">
        <v>67</v>
      </c>
      <c r="F451" s="1" t="s">
        <v>49</v>
      </c>
      <c r="G451">
        <v>983</v>
      </c>
      <c r="H451" s="4">
        <v>3.0000000000001099E-2</v>
      </c>
      <c r="I451" s="4">
        <v>110</v>
      </c>
      <c r="J451" s="4">
        <v>73</v>
      </c>
      <c r="K451" s="4">
        <v>52.14</v>
      </c>
      <c r="L451" s="4">
        <v>131</v>
      </c>
      <c r="M451" s="4">
        <v>37</v>
      </c>
      <c r="N451" s="4">
        <v>84</v>
      </c>
      <c r="O451" s="4">
        <v>41</v>
      </c>
      <c r="P451" s="4">
        <v>23.411462929141599</v>
      </c>
      <c r="Q451" s="4">
        <v>44.816961837321301</v>
      </c>
      <c r="R451" s="4">
        <v>32</v>
      </c>
      <c r="S451" s="7" t="s">
        <v>33</v>
      </c>
      <c r="T451" s="4">
        <v>210038</v>
      </c>
      <c r="U451" s="4">
        <v>764290</v>
      </c>
      <c r="V451" s="4">
        <v>1524</v>
      </c>
      <c r="W451" s="4">
        <v>122400</v>
      </c>
      <c r="X451" s="4">
        <v>202473</v>
      </c>
      <c r="Y451" s="4">
        <v>550000</v>
      </c>
      <c r="Z451" s="4">
        <v>120000</v>
      </c>
      <c r="AA451" s="4">
        <v>14217</v>
      </c>
      <c r="AB451" s="4">
        <v>66646</v>
      </c>
      <c r="AC451" s="4">
        <v>1802315</v>
      </c>
      <c r="AD451" s="4">
        <v>1112</v>
      </c>
      <c r="AE451" s="4">
        <v>25407</v>
      </c>
      <c r="AF451" s="4">
        <v>1895480</v>
      </c>
      <c r="AG451" s="6">
        <v>5388</v>
      </c>
      <c r="AH451" s="6">
        <v>5325</v>
      </c>
      <c r="AI451" s="6">
        <v>63</v>
      </c>
      <c r="AL451" s="4">
        <v>358</v>
      </c>
      <c r="AM451" s="4">
        <v>5449</v>
      </c>
      <c r="AN451" s="4">
        <v>768</v>
      </c>
      <c r="AO451" s="6">
        <v>419618</v>
      </c>
      <c r="AP451" s="6">
        <v>367006</v>
      </c>
      <c r="AQ451" s="6">
        <v>52612</v>
      </c>
      <c r="AS451" s="6">
        <v>48.7</v>
      </c>
      <c r="AT451" s="6">
        <v>4</v>
      </c>
      <c r="AV451" s="4">
        <v>81</v>
      </c>
      <c r="AW451" s="4">
        <v>126</v>
      </c>
    </row>
    <row r="452" spans="1:49" x14ac:dyDescent="0.2">
      <c r="A452" s="1">
        <v>44275</v>
      </c>
      <c r="B452">
        <f>B451</f>
        <v>-8.57</v>
      </c>
      <c r="C452" s="1" t="s">
        <v>59</v>
      </c>
      <c r="D452" s="1" t="s">
        <v>62</v>
      </c>
      <c r="E452" s="1" t="s">
        <v>67</v>
      </c>
      <c r="F452" s="1" t="s">
        <v>49</v>
      </c>
      <c r="G452">
        <v>995</v>
      </c>
      <c r="H452" s="4">
        <v>1.9999999999996E-2</v>
      </c>
      <c r="I452" s="4">
        <v>113</v>
      </c>
      <c r="J452" s="4">
        <v>71</v>
      </c>
      <c r="K452" s="4">
        <v>69.02</v>
      </c>
      <c r="L452" s="4">
        <v>97</v>
      </c>
      <c r="M452" s="4">
        <v>35</v>
      </c>
      <c r="N452" s="4">
        <v>87</v>
      </c>
      <c r="O452" s="4">
        <v>40</v>
      </c>
      <c r="P452" s="4">
        <v>21.271365010849198</v>
      </c>
      <c r="Q452" s="4">
        <v>41.897512956892903</v>
      </c>
      <c r="R452" s="4">
        <v>31</v>
      </c>
      <c r="S452" s="7" t="s">
        <v>33</v>
      </c>
      <c r="T452" s="4">
        <v>284273</v>
      </c>
      <c r="U452" s="4">
        <v>764759</v>
      </c>
      <c r="V452" s="4">
        <v>2042</v>
      </c>
      <c r="W452" s="4">
        <v>122400</v>
      </c>
      <c r="X452" s="4">
        <v>202473</v>
      </c>
      <c r="Y452" s="4">
        <v>550000</v>
      </c>
      <c r="Z452" s="4">
        <v>120000</v>
      </c>
      <c r="AA452" s="4">
        <v>14686</v>
      </c>
      <c r="AB452" s="4">
        <v>65377</v>
      </c>
      <c r="AC452" s="4">
        <v>377256</v>
      </c>
      <c r="AD452" s="4">
        <v>1194</v>
      </c>
      <c r="AE452" s="4">
        <v>27218</v>
      </c>
      <c r="AF452" s="4">
        <v>471045</v>
      </c>
      <c r="AG452" s="6">
        <v>4246</v>
      </c>
      <c r="AH452" s="6">
        <v>4204</v>
      </c>
      <c r="AI452" s="6">
        <v>42</v>
      </c>
      <c r="AL452" s="4">
        <v>364</v>
      </c>
      <c r="AM452" s="4">
        <v>5568</v>
      </c>
      <c r="AN452" s="4">
        <v>787</v>
      </c>
      <c r="AO452" s="6">
        <v>844285</v>
      </c>
      <c r="AP452" s="6">
        <v>752308</v>
      </c>
      <c r="AQ452" s="6">
        <v>91977</v>
      </c>
      <c r="AS452" s="6">
        <v>48</v>
      </c>
      <c r="AT452" s="6">
        <v>3.9</v>
      </c>
      <c r="AV452" s="4">
        <v>64</v>
      </c>
      <c r="AW452" s="4">
        <v>100</v>
      </c>
    </row>
    <row r="453" spans="1:49" x14ac:dyDescent="0.2">
      <c r="A453" s="1">
        <v>44274</v>
      </c>
      <c r="B453">
        <f t="shared" ref="B453:B457" si="63">B452</f>
        <v>-8.57</v>
      </c>
      <c r="C453" s="1" t="s">
        <v>59</v>
      </c>
      <c r="D453" s="1" t="s">
        <v>62</v>
      </c>
      <c r="E453" s="1" t="s">
        <v>67</v>
      </c>
      <c r="F453" s="1" t="s">
        <v>49</v>
      </c>
      <c r="G453">
        <v>1001</v>
      </c>
      <c r="H453" s="4">
        <v>3.0000000000001099E-2</v>
      </c>
      <c r="I453" s="4">
        <v>119</v>
      </c>
      <c r="J453" s="4">
        <v>50</v>
      </c>
      <c r="K453" s="4">
        <v>61.16</v>
      </c>
      <c r="L453" s="4">
        <v>129</v>
      </c>
      <c r="M453" s="4">
        <v>39</v>
      </c>
      <c r="N453" s="4">
        <v>95</v>
      </c>
      <c r="O453" s="4">
        <v>43</v>
      </c>
      <c r="P453" s="4">
        <v>24.097273357440201</v>
      </c>
      <c r="Q453" s="4">
        <v>50.6777187318553</v>
      </c>
      <c r="R453" s="4">
        <v>31</v>
      </c>
      <c r="S453" s="7" t="s">
        <v>33</v>
      </c>
      <c r="T453" s="4">
        <v>327370</v>
      </c>
      <c r="U453" s="4">
        <v>764806</v>
      </c>
      <c r="V453" s="4">
        <v>5950</v>
      </c>
      <c r="W453" s="4">
        <v>122400</v>
      </c>
      <c r="X453" s="4">
        <v>202473</v>
      </c>
      <c r="Y453" s="4">
        <v>550000</v>
      </c>
      <c r="Z453" s="4">
        <v>120000</v>
      </c>
      <c r="AA453" s="4">
        <v>14733</v>
      </c>
      <c r="AB453" s="4">
        <v>80141</v>
      </c>
      <c r="AC453" s="4">
        <v>828414</v>
      </c>
      <c r="AD453" s="4">
        <v>2694</v>
      </c>
      <c r="AE453" s="4">
        <v>28959</v>
      </c>
      <c r="AF453" s="4">
        <v>940208</v>
      </c>
      <c r="AG453" s="6">
        <v>5176</v>
      </c>
      <c r="AH453" s="6">
        <v>5111</v>
      </c>
      <c r="AI453" s="6">
        <v>65</v>
      </c>
      <c r="AL453" s="4">
        <v>380</v>
      </c>
      <c r="AM453" s="4">
        <v>5881</v>
      </c>
      <c r="AN453" s="4">
        <v>830</v>
      </c>
      <c r="AO453" s="6">
        <v>740655</v>
      </c>
      <c r="AP453" s="6">
        <v>614930</v>
      </c>
      <c r="AQ453" s="6">
        <v>125725</v>
      </c>
      <c r="AS453" s="6">
        <v>46.7</v>
      </c>
      <c r="AT453" s="6">
        <v>3.7</v>
      </c>
      <c r="AV453" s="4">
        <v>70</v>
      </c>
      <c r="AW453" s="4">
        <v>102</v>
      </c>
    </row>
    <row r="454" spans="1:49" x14ac:dyDescent="0.2">
      <c r="A454" s="1">
        <v>44273</v>
      </c>
      <c r="B454">
        <f t="shared" si="63"/>
        <v>-8.57</v>
      </c>
      <c r="C454" s="1" t="s">
        <v>59</v>
      </c>
      <c r="D454" s="1" t="s">
        <v>62</v>
      </c>
      <c r="E454" s="1" t="s">
        <v>67</v>
      </c>
      <c r="F454" s="1" t="s">
        <v>49</v>
      </c>
      <c r="G454">
        <v>997</v>
      </c>
      <c r="H454" s="4">
        <v>1.00000000000051E-2</v>
      </c>
      <c r="I454" s="4">
        <v>121</v>
      </c>
      <c r="J454" s="4">
        <v>47</v>
      </c>
      <c r="K454" s="4">
        <v>50.19</v>
      </c>
      <c r="L454" s="4">
        <v>91</v>
      </c>
      <c r="M454" s="4">
        <v>36</v>
      </c>
      <c r="N454" s="4">
        <v>88</v>
      </c>
      <c r="O454" s="4">
        <v>39</v>
      </c>
      <c r="P454" s="4">
        <v>22.785392382231301</v>
      </c>
      <c r="Q454" s="4">
        <v>48.757531871759497</v>
      </c>
      <c r="R454" s="4">
        <v>28</v>
      </c>
      <c r="S454" s="7" t="s">
        <v>33</v>
      </c>
      <c r="T454" s="4">
        <v>317611</v>
      </c>
      <c r="U454" s="4">
        <v>764492</v>
      </c>
      <c r="V454" s="4">
        <v>4082</v>
      </c>
      <c r="W454" s="4">
        <v>122400</v>
      </c>
      <c r="X454" s="4">
        <v>202313</v>
      </c>
      <c r="Y454" s="4">
        <v>550700</v>
      </c>
      <c r="Z454" s="4">
        <v>120000</v>
      </c>
      <c r="AA454" s="4">
        <v>13879</v>
      </c>
      <c r="AB454" s="4">
        <v>83083</v>
      </c>
      <c r="AC454" s="4">
        <v>1321954</v>
      </c>
      <c r="AD454" s="4">
        <v>2566</v>
      </c>
      <c r="AE454" s="4">
        <v>28478</v>
      </c>
      <c r="AF454" s="4">
        <v>1436081</v>
      </c>
      <c r="AG454" s="6">
        <v>5623</v>
      </c>
      <c r="AH454" s="6">
        <v>5575</v>
      </c>
      <c r="AI454" s="6">
        <v>48</v>
      </c>
      <c r="AL454" s="4">
        <v>451</v>
      </c>
      <c r="AM454" s="4">
        <v>6151</v>
      </c>
      <c r="AN454" s="4">
        <v>879</v>
      </c>
      <c r="AO454" s="6">
        <v>660276</v>
      </c>
      <c r="AP454" s="6">
        <v>528260</v>
      </c>
      <c r="AQ454" s="6">
        <v>132016</v>
      </c>
      <c r="AS454" s="6">
        <v>45.7</v>
      </c>
      <c r="AT454" s="6">
        <v>3.5</v>
      </c>
      <c r="AV454" s="4">
        <v>58</v>
      </c>
      <c r="AW454" s="4">
        <v>100</v>
      </c>
    </row>
    <row r="455" spans="1:49" x14ac:dyDescent="0.2">
      <c r="A455" s="1">
        <v>44272</v>
      </c>
      <c r="B455">
        <f t="shared" si="63"/>
        <v>-8.57</v>
      </c>
      <c r="C455" s="1" t="s">
        <v>59</v>
      </c>
      <c r="D455" s="1" t="s">
        <v>62</v>
      </c>
      <c r="E455" s="1" t="s">
        <v>67</v>
      </c>
      <c r="F455" s="1" t="s">
        <v>49</v>
      </c>
      <c r="G455">
        <v>992</v>
      </c>
      <c r="H455" s="4">
        <v>3.0000000000001099E-2</v>
      </c>
      <c r="I455" s="4">
        <v>120</v>
      </c>
      <c r="J455" s="4">
        <v>48</v>
      </c>
      <c r="K455" s="4">
        <v>51.93</v>
      </c>
      <c r="L455" s="4">
        <v>101</v>
      </c>
      <c r="M455" s="4">
        <v>37</v>
      </c>
      <c r="N455" s="4">
        <v>87</v>
      </c>
      <c r="O455" s="4">
        <v>39</v>
      </c>
      <c r="P455" s="4">
        <v>23.520837792138298</v>
      </c>
      <c r="Q455" s="4">
        <v>47.805120096436902</v>
      </c>
      <c r="R455" s="4">
        <v>29</v>
      </c>
      <c r="S455" s="7" t="s">
        <v>33</v>
      </c>
      <c r="T455" s="4">
        <v>363694</v>
      </c>
      <c r="U455" s="4">
        <v>762324</v>
      </c>
      <c r="V455" s="4">
        <v>4953</v>
      </c>
      <c r="W455" s="4">
        <v>122400</v>
      </c>
      <c r="X455" s="4">
        <v>202313</v>
      </c>
      <c r="Y455" s="4">
        <v>550700</v>
      </c>
      <c r="Z455" s="4">
        <v>120000</v>
      </c>
      <c r="AA455" s="4">
        <v>11711</v>
      </c>
      <c r="AB455" s="4">
        <v>92739</v>
      </c>
      <c r="AC455" s="4">
        <v>1510077</v>
      </c>
      <c r="AD455" s="4">
        <v>2757</v>
      </c>
      <c r="AE455" s="4">
        <v>31039</v>
      </c>
      <c r="AF455" s="4">
        <v>1636612</v>
      </c>
      <c r="AG455" s="6">
        <v>5976</v>
      </c>
      <c r="AH455" s="6">
        <v>5913</v>
      </c>
      <c r="AI455" s="6">
        <v>63</v>
      </c>
      <c r="AL455" s="4">
        <v>445</v>
      </c>
      <c r="AM455" s="4">
        <v>6586</v>
      </c>
      <c r="AN455" s="4">
        <v>925</v>
      </c>
      <c r="AO455" s="6">
        <v>581855</v>
      </c>
      <c r="AP455" s="6">
        <v>462246</v>
      </c>
      <c r="AQ455" s="6">
        <v>119609</v>
      </c>
      <c r="AS455" s="6">
        <v>44.8</v>
      </c>
      <c r="AT455" s="6">
        <v>3.3</v>
      </c>
      <c r="AV455" s="4">
        <v>80</v>
      </c>
      <c r="AW455" s="4">
        <v>127</v>
      </c>
    </row>
    <row r="456" spans="1:49" x14ac:dyDescent="0.2">
      <c r="A456" s="1">
        <v>44271</v>
      </c>
      <c r="B456">
        <f t="shared" si="63"/>
        <v>-8.57</v>
      </c>
      <c r="C456" s="1" t="s">
        <v>59</v>
      </c>
      <c r="D456" s="1" t="s">
        <v>62</v>
      </c>
      <c r="E456" s="1" t="s">
        <v>67</v>
      </c>
      <c r="F456" s="1" t="s">
        <v>49</v>
      </c>
      <c r="G456">
        <v>980</v>
      </c>
      <c r="H456" s="4">
        <v>1.00000000000051E-2</v>
      </c>
      <c r="I456" s="4">
        <v>120</v>
      </c>
      <c r="J456" s="4">
        <v>46</v>
      </c>
      <c r="K456" s="4">
        <v>51.65</v>
      </c>
      <c r="L456" s="4">
        <v>102</v>
      </c>
      <c r="M456" s="4">
        <v>38</v>
      </c>
      <c r="N456" s="4">
        <v>86</v>
      </c>
      <c r="O456" s="4">
        <v>40</v>
      </c>
      <c r="P456" s="4">
        <v>23.350213925674399</v>
      </c>
      <c r="Q456" s="4">
        <v>49.426182584563698</v>
      </c>
      <c r="R456" s="4">
        <v>29</v>
      </c>
      <c r="S456" s="7" t="s">
        <v>33</v>
      </c>
      <c r="T456" s="4">
        <v>327294</v>
      </c>
      <c r="U456" s="4">
        <v>759714</v>
      </c>
      <c r="V456" s="4">
        <v>3218</v>
      </c>
      <c r="W456" s="4">
        <v>122400</v>
      </c>
      <c r="X456" s="4">
        <v>202313</v>
      </c>
      <c r="Y456" s="4">
        <v>550800</v>
      </c>
      <c r="Z456" s="4">
        <v>120000</v>
      </c>
      <c r="AA456" s="4">
        <v>9001</v>
      </c>
      <c r="AB456" s="4">
        <v>103383</v>
      </c>
      <c r="AC456" s="4">
        <v>1203115</v>
      </c>
      <c r="AD456" s="4">
        <v>1987</v>
      </c>
      <c r="AE456" s="4">
        <v>19470</v>
      </c>
      <c r="AF456" s="4">
        <v>1327955</v>
      </c>
      <c r="AG456" s="6">
        <v>5849</v>
      </c>
      <c r="AH456" s="6">
        <v>5791</v>
      </c>
      <c r="AI456" s="6">
        <v>58</v>
      </c>
      <c r="AL456" s="4">
        <v>441</v>
      </c>
      <c r="AM456" s="4">
        <v>6848</v>
      </c>
      <c r="AN456" s="4">
        <v>968</v>
      </c>
      <c r="AO456" s="6">
        <v>529119</v>
      </c>
      <c r="AP456" s="6">
        <v>433320</v>
      </c>
      <c r="AQ456" s="6">
        <v>95799</v>
      </c>
      <c r="AS456" s="6">
        <v>43.9</v>
      </c>
      <c r="AT456" s="6">
        <v>3.1</v>
      </c>
      <c r="AV456" s="4">
        <v>83</v>
      </c>
      <c r="AW456" s="4">
        <v>114</v>
      </c>
    </row>
    <row r="457" spans="1:49" x14ac:dyDescent="0.2">
      <c r="A457" s="1">
        <v>44270</v>
      </c>
      <c r="B457">
        <f t="shared" si="63"/>
        <v>-8.57</v>
      </c>
      <c r="C457" s="1" t="s">
        <v>59</v>
      </c>
      <c r="D457" s="1" t="s">
        <v>62</v>
      </c>
      <c r="E457" s="1" t="s">
        <v>67</v>
      </c>
      <c r="F457" s="1" t="s">
        <v>49</v>
      </c>
      <c r="G457">
        <v>964</v>
      </c>
      <c r="H457" s="4">
        <v>1.00000000000051E-2</v>
      </c>
      <c r="I457" s="4">
        <v>119</v>
      </c>
      <c r="J457" s="4">
        <v>47</v>
      </c>
      <c r="K457" s="4">
        <v>49.95</v>
      </c>
      <c r="L457" s="4">
        <v>109</v>
      </c>
      <c r="M457" s="4">
        <v>41</v>
      </c>
      <c r="N457" s="4">
        <v>86</v>
      </c>
      <c r="O457" s="4">
        <v>40</v>
      </c>
      <c r="P457" s="4">
        <v>23.9177264978346</v>
      </c>
      <c r="Q457" s="4">
        <v>50.042905361031501</v>
      </c>
      <c r="R457" s="4">
        <v>30</v>
      </c>
      <c r="S457" s="7" t="s">
        <v>33</v>
      </c>
      <c r="T457" s="4">
        <v>176415</v>
      </c>
      <c r="U457" s="4">
        <v>765968</v>
      </c>
      <c r="V457" s="4">
        <v>2389</v>
      </c>
      <c r="W457" s="4">
        <v>122400</v>
      </c>
      <c r="X457" s="4">
        <v>202154</v>
      </c>
      <c r="Y457" s="4">
        <v>556700</v>
      </c>
      <c r="Z457" s="4">
        <v>120000</v>
      </c>
      <c r="AA457" s="4">
        <v>9514</v>
      </c>
      <c r="AB457" s="4">
        <v>79770</v>
      </c>
      <c r="AC457" s="4">
        <v>1483711</v>
      </c>
      <c r="AD457" s="4">
        <v>1545</v>
      </c>
      <c r="AE457" s="4">
        <v>18331</v>
      </c>
      <c r="AF457" s="4">
        <v>1583357</v>
      </c>
      <c r="AG457" s="6">
        <v>6697</v>
      </c>
      <c r="AH457" s="6">
        <v>6633</v>
      </c>
      <c r="AI457" s="6">
        <v>64</v>
      </c>
      <c r="AL457" s="4">
        <v>503</v>
      </c>
      <c r="AM457" s="4">
        <v>7209</v>
      </c>
      <c r="AN457" s="4">
        <v>1016</v>
      </c>
      <c r="AO457" s="6">
        <v>440051</v>
      </c>
      <c r="AP457" s="6">
        <v>386685</v>
      </c>
      <c r="AQ457" s="6">
        <v>53366</v>
      </c>
      <c r="AS457" s="6">
        <v>43.2</v>
      </c>
      <c r="AT457" s="6">
        <v>2.9</v>
      </c>
      <c r="AV457" s="4">
        <v>95</v>
      </c>
      <c r="AW457" s="4">
        <v>137</v>
      </c>
    </row>
    <row r="458" spans="1:49" x14ac:dyDescent="0.2">
      <c r="A458" s="1">
        <v>44269</v>
      </c>
      <c r="B458">
        <v>-5.17</v>
      </c>
      <c r="C458" s="1" t="s">
        <v>59</v>
      </c>
      <c r="D458" s="1" t="s">
        <v>62</v>
      </c>
      <c r="E458" s="1" t="s">
        <v>67</v>
      </c>
      <c r="F458" s="1" t="s">
        <v>49</v>
      </c>
      <c r="G458">
        <v>951</v>
      </c>
      <c r="H458" s="4">
        <v>1.00000000000051E-2</v>
      </c>
      <c r="I458" s="4">
        <v>110</v>
      </c>
      <c r="J458" s="4">
        <v>75</v>
      </c>
      <c r="K458" s="4">
        <v>46.93</v>
      </c>
      <c r="L458" s="4">
        <v>103</v>
      </c>
      <c r="M458" s="4">
        <v>36</v>
      </c>
      <c r="N458" s="4">
        <v>85</v>
      </c>
      <c r="O458" s="4">
        <v>40</v>
      </c>
      <c r="P458" s="4">
        <v>21.0211432831941</v>
      </c>
      <c r="Q458" s="4">
        <v>44.764348695278002</v>
      </c>
      <c r="R458" s="4">
        <v>30</v>
      </c>
      <c r="S458" s="7" t="s">
        <v>33</v>
      </c>
      <c r="T458" s="4">
        <v>197927</v>
      </c>
      <c r="U458" s="4">
        <v>736154</v>
      </c>
      <c r="V458" s="4">
        <v>265</v>
      </c>
      <c r="W458" s="4">
        <v>122400</v>
      </c>
      <c r="X458" s="4">
        <v>202154</v>
      </c>
      <c r="Y458" s="4">
        <v>534000</v>
      </c>
      <c r="Z458" s="4">
        <v>120000</v>
      </c>
      <c r="AA458" s="4">
        <v>2400</v>
      </c>
      <c r="AB458" s="4">
        <v>65152</v>
      </c>
      <c r="AC458" s="4">
        <v>885406</v>
      </c>
      <c r="AD458" s="4">
        <v>265</v>
      </c>
      <c r="AE458" s="4">
        <v>14374</v>
      </c>
      <c r="AF458" s="4">
        <v>965197</v>
      </c>
      <c r="AG458" s="6">
        <v>4425</v>
      </c>
      <c r="AH458" s="6">
        <v>4384</v>
      </c>
      <c r="AI458" s="6">
        <v>41</v>
      </c>
      <c r="AL458" s="4">
        <v>428</v>
      </c>
      <c r="AM458" s="4">
        <v>7318</v>
      </c>
      <c r="AN458" s="4">
        <v>1049</v>
      </c>
      <c r="AO458" s="6">
        <v>282381</v>
      </c>
      <c r="AP458" s="6">
        <v>257010</v>
      </c>
      <c r="AQ458" s="6">
        <v>25371</v>
      </c>
      <c r="AS458" s="6">
        <v>42.5</v>
      </c>
      <c r="AT458" s="6">
        <v>2.8</v>
      </c>
      <c r="AV458" s="4">
        <v>98</v>
      </c>
      <c r="AW458" s="4">
        <v>137</v>
      </c>
    </row>
    <row r="459" spans="1:49" x14ac:dyDescent="0.2">
      <c r="A459" s="1">
        <v>44268</v>
      </c>
      <c r="B459">
        <f>B458</f>
        <v>-5.17</v>
      </c>
      <c r="C459" s="1" t="s">
        <v>59</v>
      </c>
      <c r="D459" s="1" t="s">
        <v>62</v>
      </c>
      <c r="E459" s="1" t="s">
        <v>67</v>
      </c>
      <c r="F459" s="1" t="s">
        <v>49</v>
      </c>
      <c r="G459">
        <v>934</v>
      </c>
      <c r="H459" s="4">
        <v>4.0000000000006301E-2</v>
      </c>
      <c r="I459" s="4">
        <v>113</v>
      </c>
      <c r="J459" s="4">
        <v>70</v>
      </c>
      <c r="K459" s="4">
        <v>61.13</v>
      </c>
      <c r="L459" s="4">
        <v>81</v>
      </c>
      <c r="M459" s="4">
        <v>35</v>
      </c>
      <c r="N459" s="4">
        <v>91</v>
      </c>
      <c r="O459" s="4">
        <v>39</v>
      </c>
      <c r="P459" s="4">
        <v>19.224465195443099</v>
      </c>
      <c r="Q459" s="4">
        <v>42.622852246109801</v>
      </c>
      <c r="R459" s="4">
        <v>29</v>
      </c>
      <c r="S459" s="7" t="s">
        <v>33</v>
      </c>
      <c r="T459" s="4">
        <v>273312</v>
      </c>
      <c r="U459" s="4">
        <v>736854</v>
      </c>
      <c r="V459" s="4">
        <v>711</v>
      </c>
      <c r="W459" s="4">
        <v>122400</v>
      </c>
      <c r="X459" s="4">
        <v>202154</v>
      </c>
      <c r="Y459" s="4">
        <v>534700</v>
      </c>
      <c r="Z459" s="4">
        <v>120000</v>
      </c>
      <c r="AA459" s="4">
        <v>2400</v>
      </c>
      <c r="AB459" s="4">
        <v>68112</v>
      </c>
      <c r="AC459" s="4">
        <v>354454</v>
      </c>
      <c r="AD459" s="4">
        <v>711</v>
      </c>
      <c r="AE459" s="4">
        <v>14451</v>
      </c>
      <c r="AF459" s="4">
        <v>437728</v>
      </c>
      <c r="AG459" s="6">
        <v>4379</v>
      </c>
      <c r="AH459" s="6">
        <v>4340</v>
      </c>
      <c r="AI459" s="6">
        <v>39</v>
      </c>
      <c r="AL459" s="4">
        <v>463</v>
      </c>
      <c r="AM459" s="4">
        <v>7386</v>
      </c>
      <c r="AN459" s="4">
        <v>1087</v>
      </c>
      <c r="AO459" s="6">
        <v>564263</v>
      </c>
      <c r="AP459" s="6">
        <v>512108</v>
      </c>
      <c r="AQ459" s="6">
        <v>52155</v>
      </c>
      <c r="AS459" s="6">
        <v>42.1</v>
      </c>
      <c r="AT459" s="6">
        <v>2.8</v>
      </c>
      <c r="AV459" s="4">
        <v>106</v>
      </c>
      <c r="AW459" s="4">
        <v>135</v>
      </c>
    </row>
    <row r="460" spans="1:49" x14ac:dyDescent="0.2">
      <c r="A460" s="1">
        <v>44267</v>
      </c>
      <c r="B460">
        <f t="shared" ref="B460:B464" si="64">B459</f>
        <v>-5.17</v>
      </c>
      <c r="C460" s="1" t="s">
        <v>59</v>
      </c>
      <c r="D460" s="1" t="s">
        <v>62</v>
      </c>
      <c r="E460" s="1" t="s">
        <v>67</v>
      </c>
      <c r="F460" s="1" t="s">
        <v>49</v>
      </c>
      <c r="G460">
        <v>929</v>
      </c>
      <c r="H460" s="4">
        <v>1.00000000000051E-2</v>
      </c>
      <c r="I460" s="4">
        <v>121</v>
      </c>
      <c r="J460" s="4">
        <v>49</v>
      </c>
      <c r="K460" s="4" t="s">
        <v>45</v>
      </c>
      <c r="L460" s="4">
        <v>95</v>
      </c>
      <c r="M460" s="4">
        <v>36</v>
      </c>
      <c r="N460" s="4">
        <v>93</v>
      </c>
      <c r="O460" s="4">
        <v>40</v>
      </c>
      <c r="P460" s="4">
        <v>22.7246210971518</v>
      </c>
      <c r="Q460" s="4">
        <v>49.191553226542297</v>
      </c>
      <c r="R460" s="4">
        <v>28</v>
      </c>
      <c r="S460" s="7" t="s">
        <v>33</v>
      </c>
      <c r="T460" s="4">
        <v>281391</v>
      </c>
      <c r="U460" s="4">
        <v>734654</v>
      </c>
      <c r="V460" s="4">
        <v>5202</v>
      </c>
      <c r="W460" s="4">
        <v>122400</v>
      </c>
      <c r="X460" s="4">
        <v>202154</v>
      </c>
      <c r="Y460" s="4">
        <v>532500</v>
      </c>
      <c r="Z460" s="4">
        <v>120000</v>
      </c>
      <c r="AA460" s="4">
        <v>2400</v>
      </c>
      <c r="AB460" s="4">
        <v>78035</v>
      </c>
      <c r="AC460" s="4">
        <v>1308282</v>
      </c>
      <c r="AD460" s="4">
        <v>2788</v>
      </c>
      <c r="AE460" s="4">
        <v>16419</v>
      </c>
      <c r="AF460" s="4">
        <v>1405524</v>
      </c>
      <c r="AG460" s="6">
        <v>5716</v>
      </c>
      <c r="AH460" s="6">
        <v>5664</v>
      </c>
      <c r="AI460" s="6">
        <v>52</v>
      </c>
      <c r="AL460" s="4">
        <v>480</v>
      </c>
      <c r="AM460" s="4">
        <v>7730</v>
      </c>
      <c r="AN460" s="4">
        <v>1110</v>
      </c>
      <c r="AO460" s="6">
        <v>457254</v>
      </c>
      <c r="AP460" s="6">
        <v>369578</v>
      </c>
      <c r="AQ460" s="6">
        <v>87676</v>
      </c>
      <c r="AS460" s="6">
        <v>41.2</v>
      </c>
      <c r="AT460" s="6">
        <v>2.7</v>
      </c>
      <c r="AV460" s="4">
        <v>93</v>
      </c>
      <c r="AW460" s="4">
        <v>135</v>
      </c>
    </row>
    <row r="461" spans="1:49" x14ac:dyDescent="0.2">
      <c r="A461" s="1">
        <v>44266</v>
      </c>
      <c r="B461">
        <f t="shared" si="64"/>
        <v>-5.17</v>
      </c>
      <c r="C461" s="1" t="s">
        <v>59</v>
      </c>
      <c r="D461" s="1" t="s">
        <v>62</v>
      </c>
      <c r="E461" s="1" t="s">
        <v>67</v>
      </c>
      <c r="F461" s="1" t="s">
        <v>49</v>
      </c>
      <c r="G461">
        <v>926</v>
      </c>
      <c r="H461" s="4">
        <v>0</v>
      </c>
      <c r="I461" s="4">
        <v>122</v>
      </c>
      <c r="J461" s="4">
        <v>46</v>
      </c>
      <c r="K461" s="4">
        <v>49.19</v>
      </c>
      <c r="L461" s="4">
        <v>93</v>
      </c>
      <c r="M461" s="4">
        <v>37</v>
      </c>
      <c r="N461" s="4">
        <v>89</v>
      </c>
      <c r="O461" s="4">
        <v>38</v>
      </c>
      <c r="P461" s="4">
        <v>22.198857866844801</v>
      </c>
      <c r="Q461" s="4">
        <v>47.817729531834601</v>
      </c>
      <c r="R461" s="4">
        <v>27</v>
      </c>
      <c r="S461" s="7" t="s">
        <v>33</v>
      </c>
      <c r="T461" s="4">
        <v>331462</v>
      </c>
      <c r="U461" s="4">
        <v>734609</v>
      </c>
      <c r="V461" s="4">
        <v>4214</v>
      </c>
      <c r="W461" s="4">
        <v>122400</v>
      </c>
      <c r="X461" s="4">
        <v>202109</v>
      </c>
      <c r="Y461" s="4">
        <v>532500</v>
      </c>
      <c r="Z461" s="4">
        <v>120000</v>
      </c>
      <c r="AA461" s="4">
        <v>2400</v>
      </c>
      <c r="AB461" s="4">
        <v>82667</v>
      </c>
      <c r="AC461" s="4">
        <v>1511972</v>
      </c>
      <c r="AD461" s="4">
        <v>2490</v>
      </c>
      <c r="AE461" s="4">
        <v>18347</v>
      </c>
      <c r="AF461" s="4">
        <v>1615476</v>
      </c>
      <c r="AG461" s="6">
        <v>5933</v>
      </c>
      <c r="AH461" s="6">
        <v>5876</v>
      </c>
      <c r="AI461" s="6">
        <v>57</v>
      </c>
      <c r="AL461" s="4">
        <v>551</v>
      </c>
      <c r="AM461" s="4">
        <v>8068</v>
      </c>
      <c r="AN461" s="4">
        <v>1192</v>
      </c>
      <c r="AO461" s="6">
        <v>354372</v>
      </c>
      <c r="AP461" s="6">
        <v>260809</v>
      </c>
      <c r="AQ461" s="6">
        <v>93563</v>
      </c>
      <c r="AS461" s="6">
        <v>40.5</v>
      </c>
      <c r="AT461" s="6">
        <v>2.5</v>
      </c>
      <c r="AV461" s="4">
        <v>125</v>
      </c>
      <c r="AW461" s="4">
        <v>173</v>
      </c>
    </row>
    <row r="462" spans="1:49" x14ac:dyDescent="0.2">
      <c r="A462" s="1">
        <v>44265</v>
      </c>
      <c r="B462">
        <f t="shared" si="64"/>
        <v>-5.17</v>
      </c>
      <c r="C462" s="1" t="s">
        <v>59</v>
      </c>
      <c r="D462" s="1" t="s">
        <v>62</v>
      </c>
      <c r="E462" s="1" t="s">
        <v>67</v>
      </c>
      <c r="F462" s="1" t="s">
        <v>49</v>
      </c>
      <c r="G462">
        <v>922</v>
      </c>
      <c r="H462" s="4">
        <v>0</v>
      </c>
      <c r="I462" s="4">
        <v>122</v>
      </c>
      <c r="J462" s="4">
        <v>46</v>
      </c>
      <c r="K462" s="4">
        <v>45.28</v>
      </c>
      <c r="L462" s="4">
        <v>67</v>
      </c>
      <c r="M462" s="4">
        <v>33</v>
      </c>
      <c r="N462" s="4">
        <v>80</v>
      </c>
      <c r="O462" s="4">
        <v>36</v>
      </c>
      <c r="P462" s="4">
        <v>21.697391761574799</v>
      </c>
      <c r="Q462" s="4">
        <v>44.761867104653703</v>
      </c>
      <c r="R462" s="4">
        <v>26</v>
      </c>
      <c r="S462" s="7" t="s">
        <v>33</v>
      </c>
      <c r="T462" s="4">
        <v>368524</v>
      </c>
      <c r="U462" s="4">
        <v>778609</v>
      </c>
      <c r="V462" s="4">
        <v>5447</v>
      </c>
      <c r="W462" s="4">
        <v>122400</v>
      </c>
      <c r="X462" s="4">
        <v>202109</v>
      </c>
      <c r="Y462" s="4">
        <v>576500</v>
      </c>
      <c r="Z462" s="4">
        <v>120000</v>
      </c>
      <c r="AA462" s="4">
        <v>2400</v>
      </c>
      <c r="AB462" s="4">
        <v>93928</v>
      </c>
      <c r="AC462" s="4">
        <v>1436785</v>
      </c>
      <c r="AD462" s="4">
        <v>3079</v>
      </c>
      <c r="AE462" s="4">
        <v>20961</v>
      </c>
      <c r="AF462" s="4">
        <v>1554753</v>
      </c>
      <c r="AG462" s="6">
        <v>6251</v>
      </c>
      <c r="AH462" s="6">
        <v>6173</v>
      </c>
      <c r="AI462" s="6">
        <v>78</v>
      </c>
      <c r="AL462" s="4">
        <v>567</v>
      </c>
      <c r="AM462" s="4">
        <v>8437</v>
      </c>
      <c r="AN462" s="4">
        <v>1236</v>
      </c>
      <c r="AO462" s="6">
        <v>341049</v>
      </c>
      <c r="AP462" s="6">
        <v>243887</v>
      </c>
      <c r="AQ462" s="6">
        <v>97162</v>
      </c>
      <c r="AS462" s="6">
        <v>40.1</v>
      </c>
      <c r="AT462" s="6">
        <v>2.4</v>
      </c>
      <c r="AV462" s="4">
        <v>118</v>
      </c>
      <c r="AW462" s="4">
        <v>161</v>
      </c>
    </row>
    <row r="463" spans="1:49" x14ac:dyDescent="0.2">
      <c r="A463" s="1">
        <v>44264</v>
      </c>
      <c r="B463">
        <f t="shared" si="64"/>
        <v>-5.17</v>
      </c>
      <c r="C463" s="1" t="s">
        <v>59</v>
      </c>
      <c r="D463" s="1" t="s">
        <v>62</v>
      </c>
      <c r="E463" s="1" t="s">
        <v>67</v>
      </c>
      <c r="F463" s="1" t="s">
        <v>49</v>
      </c>
      <c r="G463">
        <v>926</v>
      </c>
      <c r="H463" s="4">
        <v>1.9999999999996E-2</v>
      </c>
      <c r="I463" s="4">
        <v>120</v>
      </c>
      <c r="J463" s="4">
        <v>45</v>
      </c>
      <c r="K463" s="4">
        <v>57.03</v>
      </c>
      <c r="L463" s="4">
        <v>138</v>
      </c>
      <c r="M463" s="4">
        <v>41</v>
      </c>
      <c r="N463" s="4">
        <v>88</v>
      </c>
      <c r="O463" s="4">
        <v>40</v>
      </c>
      <c r="P463" s="4">
        <v>22.834136960914101</v>
      </c>
      <c r="Q463" s="4">
        <v>47.052933320354597</v>
      </c>
      <c r="R463" s="4">
        <v>29</v>
      </c>
      <c r="S463" s="7" t="s">
        <v>33</v>
      </c>
      <c r="T463" s="4">
        <v>289057</v>
      </c>
      <c r="U463" s="4">
        <v>775609</v>
      </c>
      <c r="V463" s="4">
        <v>2545</v>
      </c>
      <c r="W463" s="4">
        <v>122400</v>
      </c>
      <c r="X463" s="4">
        <v>202109</v>
      </c>
      <c r="Y463" s="4">
        <v>573500</v>
      </c>
      <c r="Z463" s="4">
        <v>120000</v>
      </c>
      <c r="AA463" s="4">
        <v>2400</v>
      </c>
      <c r="AB463" s="4">
        <v>91827</v>
      </c>
      <c r="AC463" s="4">
        <v>1272551</v>
      </c>
      <c r="AD463" s="4">
        <v>2542</v>
      </c>
      <c r="AE463" s="4">
        <v>12722</v>
      </c>
      <c r="AF463" s="4">
        <v>1379642</v>
      </c>
      <c r="AG463" s="6">
        <v>6487</v>
      </c>
      <c r="AH463" s="6">
        <v>6385</v>
      </c>
      <c r="AI463" s="6">
        <v>102</v>
      </c>
      <c r="AL463" s="4">
        <v>579</v>
      </c>
      <c r="AM463" s="4">
        <v>9010</v>
      </c>
      <c r="AN463" s="4">
        <v>1292</v>
      </c>
      <c r="AO463" s="6">
        <v>290223</v>
      </c>
      <c r="AP463" s="6">
        <v>217301</v>
      </c>
      <c r="AQ463" s="6">
        <v>72922</v>
      </c>
      <c r="AS463" s="6">
        <v>39.700000000000003</v>
      </c>
      <c r="AT463" s="6">
        <v>2.2000000000000002</v>
      </c>
      <c r="AV463" s="4">
        <v>137</v>
      </c>
      <c r="AW463" s="4">
        <v>185</v>
      </c>
    </row>
    <row r="464" spans="1:49" x14ac:dyDescent="0.2">
      <c r="A464" s="1">
        <v>44263</v>
      </c>
      <c r="B464">
        <f t="shared" si="64"/>
        <v>-5.17</v>
      </c>
      <c r="C464" s="1" t="s">
        <v>59</v>
      </c>
      <c r="D464" s="1" t="s">
        <v>62</v>
      </c>
      <c r="E464" s="1" t="s">
        <v>67</v>
      </c>
      <c r="F464" s="1" t="s">
        <v>49</v>
      </c>
      <c r="G464">
        <v>925</v>
      </c>
      <c r="H464" s="4">
        <v>0</v>
      </c>
      <c r="I464" s="4">
        <v>120</v>
      </c>
      <c r="J464" s="4">
        <v>44</v>
      </c>
      <c r="K464" s="4">
        <v>51.24</v>
      </c>
      <c r="L464" s="4">
        <v>117</v>
      </c>
      <c r="M464" s="4">
        <v>42</v>
      </c>
      <c r="N464" s="4">
        <v>89</v>
      </c>
      <c r="O464" s="4">
        <v>39</v>
      </c>
      <c r="P464" s="4">
        <v>22.409826942472201</v>
      </c>
      <c r="Q464" s="4">
        <v>45.135438827234097</v>
      </c>
      <c r="R464" s="4">
        <v>29</v>
      </c>
      <c r="S464" s="7" t="s">
        <v>33</v>
      </c>
      <c r="T464" s="4">
        <v>173573</v>
      </c>
      <c r="U464" s="4">
        <v>775609</v>
      </c>
      <c r="V464" s="4">
        <v>2116</v>
      </c>
      <c r="W464" s="4">
        <v>122400</v>
      </c>
      <c r="X464" s="4">
        <v>202109</v>
      </c>
      <c r="Y464" s="4">
        <v>573500</v>
      </c>
      <c r="Z464" s="4">
        <v>120000</v>
      </c>
      <c r="AA464" s="4">
        <v>2400</v>
      </c>
      <c r="AB464" s="4">
        <v>83568</v>
      </c>
      <c r="AC464" s="4">
        <v>1440664</v>
      </c>
      <c r="AD464" s="4">
        <v>2052</v>
      </c>
      <c r="AE464" s="4">
        <v>11565</v>
      </c>
      <c r="AF464" s="4">
        <v>1537849</v>
      </c>
      <c r="AG464" s="6">
        <v>6890</v>
      </c>
      <c r="AH464" s="6">
        <v>6789</v>
      </c>
      <c r="AI464" s="6">
        <v>101</v>
      </c>
      <c r="AL464" s="4">
        <v>576</v>
      </c>
      <c r="AM464" s="4">
        <v>9475</v>
      </c>
      <c r="AN464" s="4">
        <v>1356</v>
      </c>
      <c r="AO464" s="6">
        <v>254061</v>
      </c>
      <c r="AP464" s="6">
        <v>215273</v>
      </c>
      <c r="AQ464" s="6">
        <v>38788</v>
      </c>
      <c r="AS464" s="6">
        <v>39.299999999999997</v>
      </c>
      <c r="AT464" s="6">
        <v>2.1</v>
      </c>
      <c r="AV464" s="4">
        <v>144</v>
      </c>
      <c r="AW464" s="4">
        <v>197</v>
      </c>
    </row>
    <row r="465" spans="1:49" x14ac:dyDescent="0.2">
      <c r="A465" s="1">
        <v>44262</v>
      </c>
      <c r="B465">
        <v>2.74</v>
      </c>
      <c r="C465" s="1" t="s">
        <v>59</v>
      </c>
      <c r="D465" s="1" t="s">
        <v>62</v>
      </c>
      <c r="E465" s="1" t="s">
        <v>66</v>
      </c>
      <c r="F465" s="1" t="s">
        <v>49</v>
      </c>
      <c r="G465">
        <v>939</v>
      </c>
      <c r="H465" s="4">
        <v>0</v>
      </c>
      <c r="I465" s="4">
        <v>111</v>
      </c>
      <c r="J465" s="4">
        <v>70</v>
      </c>
      <c r="K465" s="4">
        <v>49.73</v>
      </c>
      <c r="L465" s="4">
        <v>123</v>
      </c>
      <c r="M465" s="4">
        <v>37</v>
      </c>
      <c r="N465" s="4">
        <v>83</v>
      </c>
      <c r="O465" s="4">
        <v>38</v>
      </c>
      <c r="P465" s="4">
        <v>20.8595486788013</v>
      </c>
      <c r="Q465" s="4">
        <v>42.471087359324798</v>
      </c>
      <c r="R465" s="4">
        <v>29</v>
      </c>
      <c r="S465" s="7" t="s">
        <v>33</v>
      </c>
      <c r="T465" s="4">
        <v>197700</v>
      </c>
      <c r="U465" s="4">
        <v>767836</v>
      </c>
      <c r="V465" s="4">
        <v>646</v>
      </c>
      <c r="W465" s="4">
        <v>121100</v>
      </c>
      <c r="X465" s="4">
        <v>201036</v>
      </c>
      <c r="Y465" s="4">
        <v>566800</v>
      </c>
      <c r="Z465" s="4">
        <v>120000</v>
      </c>
      <c r="AA465" s="4">
        <v>1100</v>
      </c>
      <c r="AB465" s="4">
        <v>61356</v>
      </c>
      <c r="AC465" s="4">
        <v>732240</v>
      </c>
      <c r="AD465" s="4">
        <v>646</v>
      </c>
      <c r="AE465" s="4">
        <v>12692</v>
      </c>
      <c r="AF465" s="4">
        <v>806934</v>
      </c>
      <c r="AG465" s="6">
        <v>4410</v>
      </c>
      <c r="AH465" s="6">
        <v>4371</v>
      </c>
      <c r="AI465" s="6">
        <v>39</v>
      </c>
      <c r="AL465" s="4">
        <v>535</v>
      </c>
      <c r="AM465" s="4">
        <v>9460</v>
      </c>
      <c r="AN465" s="4">
        <v>1394</v>
      </c>
      <c r="AO465" s="6">
        <v>184384</v>
      </c>
      <c r="AP465" s="6">
        <v>164143</v>
      </c>
      <c r="AQ465" s="6">
        <v>20241</v>
      </c>
      <c r="AS465" s="6">
        <v>38.9</v>
      </c>
      <c r="AT465" s="6">
        <v>2</v>
      </c>
      <c r="AV465" s="4">
        <v>133</v>
      </c>
      <c r="AW465" s="4">
        <v>197</v>
      </c>
    </row>
    <row r="466" spans="1:49" x14ac:dyDescent="0.2">
      <c r="A466" s="1">
        <v>44261</v>
      </c>
      <c r="B466">
        <f>B465</f>
        <v>2.74</v>
      </c>
      <c r="C466" s="1" t="s">
        <v>59</v>
      </c>
      <c r="D466" s="1" t="s">
        <v>62</v>
      </c>
      <c r="E466" s="1" t="s">
        <v>66</v>
      </c>
      <c r="F466" s="1" t="s">
        <v>49</v>
      </c>
      <c r="G466">
        <v>942</v>
      </c>
      <c r="H466" s="4">
        <v>4.9999999999997199E-2</v>
      </c>
      <c r="I466" s="4">
        <v>114</v>
      </c>
      <c r="J466" s="4">
        <v>69</v>
      </c>
      <c r="K466" s="4">
        <v>63.49</v>
      </c>
      <c r="L466" s="4">
        <v>87</v>
      </c>
      <c r="M466" s="4">
        <v>35</v>
      </c>
      <c r="N466" s="4">
        <v>86</v>
      </c>
      <c r="O466" s="4">
        <v>38</v>
      </c>
      <c r="P466" s="4">
        <v>19.356056521722302</v>
      </c>
      <c r="Q466" s="4">
        <v>39.363172311122597</v>
      </c>
      <c r="R466" s="4">
        <v>28</v>
      </c>
      <c r="S466" s="7" t="s">
        <v>33</v>
      </c>
      <c r="T466" s="4">
        <v>282181</v>
      </c>
      <c r="U466" s="4">
        <v>769024</v>
      </c>
      <c r="V466" s="4">
        <v>665</v>
      </c>
      <c r="W466" s="4">
        <v>121100</v>
      </c>
      <c r="X466" s="4">
        <v>201524</v>
      </c>
      <c r="Y466" s="4">
        <v>567500</v>
      </c>
      <c r="Z466" s="4">
        <v>120000</v>
      </c>
      <c r="AA466" s="4">
        <v>1100</v>
      </c>
      <c r="AB466" s="4">
        <v>70482</v>
      </c>
      <c r="AC466" s="4">
        <v>367847</v>
      </c>
      <c r="AD466" s="4">
        <v>665</v>
      </c>
      <c r="AE466" s="4">
        <v>13593</v>
      </c>
      <c r="AF466" s="4">
        <v>452587</v>
      </c>
      <c r="AG466" s="6">
        <v>4628</v>
      </c>
      <c r="AH466" s="6">
        <v>4592</v>
      </c>
      <c r="AI466" s="6">
        <v>36</v>
      </c>
      <c r="AL466" s="4">
        <v>636</v>
      </c>
      <c r="AM466" s="4">
        <v>9712</v>
      </c>
      <c r="AN466" s="4">
        <v>1449</v>
      </c>
      <c r="AO466" s="6">
        <v>448396</v>
      </c>
      <c r="AP466" s="6">
        <v>416834</v>
      </c>
      <c r="AQ466" s="6">
        <v>31562</v>
      </c>
      <c r="AS466" s="6">
        <v>38.6</v>
      </c>
      <c r="AT466" s="6">
        <v>2</v>
      </c>
      <c r="AV466" s="4">
        <v>153</v>
      </c>
      <c r="AW466" s="4">
        <v>210</v>
      </c>
    </row>
    <row r="467" spans="1:49" x14ac:dyDescent="0.2">
      <c r="A467" s="1">
        <v>44260</v>
      </c>
      <c r="B467">
        <f t="shared" ref="B467:B471" si="65">B466</f>
        <v>2.74</v>
      </c>
      <c r="C467" s="1" t="s">
        <v>59</v>
      </c>
      <c r="D467" s="1" t="s">
        <v>62</v>
      </c>
      <c r="E467" s="1" t="s">
        <v>66</v>
      </c>
      <c r="F467" s="1" t="s">
        <v>49</v>
      </c>
      <c r="G467">
        <v>941</v>
      </c>
      <c r="H467" s="4">
        <v>1.9999999999996E-2</v>
      </c>
      <c r="I467" s="4">
        <v>124</v>
      </c>
      <c r="J467" s="4">
        <v>45</v>
      </c>
      <c r="K467" s="4">
        <v>54.69</v>
      </c>
      <c r="L467" s="4">
        <v>93</v>
      </c>
      <c r="M467" s="4">
        <v>36</v>
      </c>
      <c r="N467" s="4">
        <v>89</v>
      </c>
      <c r="O467" s="4">
        <v>36</v>
      </c>
      <c r="P467" s="4">
        <v>20.171775166115701</v>
      </c>
      <c r="Q467" s="4">
        <v>38.327551249847602</v>
      </c>
      <c r="R467" s="4">
        <v>26</v>
      </c>
      <c r="S467" s="7" t="s">
        <v>33</v>
      </c>
      <c r="T467" s="4">
        <v>315092</v>
      </c>
      <c r="U467" s="4">
        <v>754293</v>
      </c>
      <c r="V467" s="4">
        <v>2806</v>
      </c>
      <c r="W467" s="4">
        <v>121100</v>
      </c>
      <c r="X467" s="4">
        <v>201826</v>
      </c>
      <c r="Y467" s="4">
        <v>552467</v>
      </c>
      <c r="Z467" s="4">
        <v>120000</v>
      </c>
      <c r="AA467" s="4">
        <v>1100</v>
      </c>
      <c r="AB467" s="4">
        <v>80508</v>
      </c>
      <c r="AC467" s="4">
        <v>854220</v>
      </c>
      <c r="AD467" s="4">
        <v>2757</v>
      </c>
      <c r="AE467" s="4">
        <v>15402</v>
      </c>
      <c r="AF467" s="4">
        <v>952887</v>
      </c>
      <c r="AG467" s="6">
        <v>5467</v>
      </c>
      <c r="AH467" s="6">
        <v>5409</v>
      </c>
      <c r="AI467" s="6">
        <v>58</v>
      </c>
      <c r="AL467" s="4">
        <v>599</v>
      </c>
      <c r="AM467" s="4">
        <v>10313</v>
      </c>
      <c r="AN467" s="4">
        <v>1542</v>
      </c>
      <c r="AO467" s="6">
        <v>494235</v>
      </c>
      <c r="AP467" s="6">
        <v>437463</v>
      </c>
      <c r="AQ467" s="6">
        <v>56772</v>
      </c>
      <c r="AS467" s="6">
        <v>37.9</v>
      </c>
      <c r="AT467" s="6">
        <v>1.9</v>
      </c>
      <c r="AV467" s="4">
        <v>169</v>
      </c>
      <c r="AW467" s="4">
        <v>222</v>
      </c>
    </row>
    <row r="468" spans="1:49" x14ac:dyDescent="0.2">
      <c r="A468" s="1">
        <v>44259</v>
      </c>
      <c r="B468">
        <f t="shared" si="65"/>
        <v>2.74</v>
      </c>
      <c r="C468" s="1" t="s">
        <v>59</v>
      </c>
      <c r="D468" s="1" t="s">
        <v>62</v>
      </c>
      <c r="E468" s="1" t="s">
        <v>66</v>
      </c>
      <c r="F468" s="1" t="s">
        <v>49</v>
      </c>
      <c r="G468">
        <v>942</v>
      </c>
      <c r="H468" s="4">
        <v>1.00000000000051E-2</v>
      </c>
      <c r="I468" s="4">
        <v>124</v>
      </c>
      <c r="J468" s="4">
        <v>42</v>
      </c>
      <c r="K468" s="4">
        <v>48.14</v>
      </c>
      <c r="L468" s="4">
        <v>85</v>
      </c>
      <c r="M468" s="4">
        <v>35</v>
      </c>
      <c r="N468" s="4">
        <v>84</v>
      </c>
      <c r="O468" s="4">
        <v>33</v>
      </c>
      <c r="P468" s="4">
        <v>19.079068647313399</v>
      </c>
      <c r="Q468" s="4">
        <v>36.925909360669102</v>
      </c>
      <c r="R468" s="4">
        <v>24</v>
      </c>
      <c r="S468" s="7" t="s">
        <v>33</v>
      </c>
      <c r="T468" s="4">
        <v>310297</v>
      </c>
      <c r="U468" s="4">
        <v>754126</v>
      </c>
      <c r="V468" s="4">
        <v>2674</v>
      </c>
      <c r="W468" s="4">
        <v>121100</v>
      </c>
      <c r="X468" s="4">
        <v>201826</v>
      </c>
      <c r="Y468" s="4">
        <v>552300</v>
      </c>
      <c r="Z468" s="4">
        <v>120000</v>
      </c>
      <c r="AA468" s="4">
        <v>1100</v>
      </c>
      <c r="AB468" s="4">
        <v>81253</v>
      </c>
      <c r="AC468" s="4">
        <v>892222</v>
      </c>
      <c r="AD468" s="4">
        <v>2635</v>
      </c>
      <c r="AE468" s="4">
        <v>18337</v>
      </c>
      <c r="AF468" s="4">
        <v>994447</v>
      </c>
      <c r="AG468" s="6">
        <v>5937</v>
      </c>
      <c r="AH468" s="6">
        <v>5862</v>
      </c>
      <c r="AI468" s="6">
        <v>75</v>
      </c>
      <c r="AL468" s="4">
        <v>706</v>
      </c>
      <c r="AM468" s="4">
        <v>10934</v>
      </c>
      <c r="AN468" s="4">
        <v>1589</v>
      </c>
      <c r="AO468" s="6">
        <v>446450</v>
      </c>
      <c r="AP468" s="6">
        <v>376244</v>
      </c>
      <c r="AQ468" s="6">
        <v>70206</v>
      </c>
      <c r="AS468" s="6">
        <v>37.1</v>
      </c>
      <c r="AT468" s="6">
        <v>1.8</v>
      </c>
      <c r="AV468" s="4">
        <v>154</v>
      </c>
      <c r="AW468" s="4">
        <v>233</v>
      </c>
    </row>
    <row r="469" spans="1:49" x14ac:dyDescent="0.2">
      <c r="A469" s="1">
        <v>44258</v>
      </c>
      <c r="B469">
        <f t="shared" si="65"/>
        <v>2.74</v>
      </c>
      <c r="C469" s="1" t="s">
        <v>59</v>
      </c>
      <c r="D469" s="1" t="s">
        <v>62</v>
      </c>
      <c r="E469" s="1" t="s">
        <v>66</v>
      </c>
      <c r="F469" s="1" t="s">
        <v>49</v>
      </c>
      <c r="G469">
        <v>944</v>
      </c>
      <c r="H469" s="4">
        <v>3.0000000000001099E-2</v>
      </c>
      <c r="I469" s="4">
        <v>124</v>
      </c>
      <c r="J469" s="4">
        <v>42</v>
      </c>
      <c r="K469" s="4">
        <v>46.07</v>
      </c>
      <c r="L469" s="4">
        <v>75</v>
      </c>
      <c r="M469" s="4">
        <v>34</v>
      </c>
      <c r="N469" s="4">
        <v>78</v>
      </c>
      <c r="O469" s="4">
        <v>33</v>
      </c>
      <c r="P469" s="4">
        <v>19.079150966638402</v>
      </c>
      <c r="Q469" s="4">
        <v>35.733019416244503</v>
      </c>
      <c r="R469" s="4">
        <v>24</v>
      </c>
      <c r="S469" s="7" t="s">
        <v>33</v>
      </c>
      <c r="T469" s="4">
        <v>345187</v>
      </c>
      <c r="U469" s="4">
        <v>753326</v>
      </c>
      <c r="V469" s="4">
        <v>2394</v>
      </c>
      <c r="W469" s="4">
        <v>121100</v>
      </c>
      <c r="X469" s="4">
        <v>201826</v>
      </c>
      <c r="Y469" s="4">
        <v>551500</v>
      </c>
      <c r="Z469" s="4">
        <v>120000</v>
      </c>
      <c r="AA469" s="4">
        <v>1100</v>
      </c>
      <c r="AB469" s="4">
        <v>94347</v>
      </c>
      <c r="AC469" s="4">
        <v>745096</v>
      </c>
      <c r="AD469" s="4">
        <v>2394</v>
      </c>
      <c r="AE469" s="4">
        <v>19497</v>
      </c>
      <c r="AF469" s="4">
        <v>861334</v>
      </c>
      <c r="AG469" s="6">
        <v>6172</v>
      </c>
      <c r="AH469" s="6">
        <v>6101</v>
      </c>
      <c r="AI469" s="6">
        <v>71</v>
      </c>
      <c r="AL469" s="4">
        <v>713</v>
      </c>
      <c r="AM469" s="4">
        <v>11524</v>
      </c>
      <c r="AN469" s="4">
        <v>1647</v>
      </c>
      <c r="AO469" s="6">
        <v>347406</v>
      </c>
      <c r="AP469" s="6">
        <v>278956</v>
      </c>
      <c r="AQ469" s="6">
        <v>68450</v>
      </c>
      <c r="AS469" s="6">
        <v>36.5</v>
      </c>
      <c r="AT469" s="6">
        <v>1.7</v>
      </c>
      <c r="AV469" s="4">
        <v>147</v>
      </c>
      <c r="AW469" s="4">
        <v>217</v>
      </c>
    </row>
    <row r="470" spans="1:49" x14ac:dyDescent="0.2">
      <c r="A470" s="1">
        <v>44257</v>
      </c>
      <c r="B470">
        <f t="shared" si="65"/>
        <v>2.74</v>
      </c>
      <c r="C470" s="1" t="s">
        <v>59</v>
      </c>
      <c r="D470" s="1" t="s">
        <v>62</v>
      </c>
      <c r="E470" s="1" t="s">
        <v>66</v>
      </c>
      <c r="F470" s="1" t="s">
        <v>49</v>
      </c>
      <c r="G470">
        <v>947</v>
      </c>
      <c r="H470" s="4">
        <v>0</v>
      </c>
      <c r="I470" s="4">
        <v>123</v>
      </c>
      <c r="J470" s="4">
        <v>41</v>
      </c>
      <c r="K470" s="4">
        <v>50.38</v>
      </c>
      <c r="L470" s="4">
        <v>102</v>
      </c>
      <c r="M470" s="4">
        <v>37</v>
      </c>
      <c r="N470" s="4">
        <v>82</v>
      </c>
      <c r="O470" s="4">
        <v>34</v>
      </c>
      <c r="P470" s="4">
        <v>19.3216709436884</v>
      </c>
      <c r="Q470" s="4">
        <v>36.975777179197301</v>
      </c>
      <c r="R470" s="4">
        <v>25</v>
      </c>
      <c r="S470" s="7" t="s">
        <v>33</v>
      </c>
      <c r="T470" s="4">
        <v>305802</v>
      </c>
      <c r="U470" s="4">
        <v>750326</v>
      </c>
      <c r="V470" s="4">
        <v>2293</v>
      </c>
      <c r="W470" s="4">
        <v>121100</v>
      </c>
      <c r="X470" s="4">
        <v>201826</v>
      </c>
      <c r="Y470" s="4">
        <v>548500</v>
      </c>
      <c r="Z470" s="4">
        <v>120000</v>
      </c>
      <c r="AA470" s="4">
        <v>1100</v>
      </c>
      <c r="AB470" s="4">
        <v>97874</v>
      </c>
      <c r="AC470" s="4">
        <v>566928</v>
      </c>
      <c r="AD470" s="4">
        <v>2200</v>
      </c>
      <c r="AE470" s="4">
        <v>13101</v>
      </c>
      <c r="AF470" s="4">
        <v>680103</v>
      </c>
      <c r="AG470" s="6">
        <v>6919</v>
      </c>
      <c r="AH470" s="6">
        <v>6801</v>
      </c>
      <c r="AI470" s="6">
        <v>118</v>
      </c>
      <c r="AL470" s="4">
        <v>835</v>
      </c>
      <c r="AM470" s="4">
        <v>12140</v>
      </c>
      <c r="AN470" s="4">
        <v>1709</v>
      </c>
      <c r="AO470" s="6">
        <v>276310</v>
      </c>
      <c r="AP470" s="6">
        <v>224996</v>
      </c>
      <c r="AQ470" s="6">
        <v>51314</v>
      </c>
      <c r="AS470" s="6">
        <v>36</v>
      </c>
      <c r="AT470" s="6">
        <v>1.6</v>
      </c>
      <c r="AV470" s="4">
        <v>184</v>
      </c>
      <c r="AW470" s="4">
        <v>244</v>
      </c>
    </row>
    <row r="471" spans="1:49" x14ac:dyDescent="0.2">
      <c r="A471" s="1">
        <v>44256</v>
      </c>
      <c r="B471">
        <f t="shared" si="65"/>
        <v>2.74</v>
      </c>
      <c r="C471" s="1" t="s">
        <v>59</v>
      </c>
      <c r="D471" s="1" t="s">
        <v>62</v>
      </c>
      <c r="E471" s="1" t="s">
        <v>66</v>
      </c>
      <c r="F471" s="1" t="s">
        <v>49</v>
      </c>
      <c r="G471">
        <v>943</v>
      </c>
      <c r="H471" s="4">
        <v>0</v>
      </c>
      <c r="I471" s="4">
        <v>122</v>
      </c>
      <c r="J471" s="4">
        <v>42</v>
      </c>
      <c r="K471" s="4">
        <v>49.69</v>
      </c>
      <c r="L471" s="4">
        <v>114</v>
      </c>
      <c r="M471" s="4">
        <v>40</v>
      </c>
      <c r="N471" s="4">
        <v>84</v>
      </c>
      <c r="O471" s="4">
        <v>35</v>
      </c>
      <c r="P471" s="4">
        <v>20.0269956408635</v>
      </c>
      <c r="Q471" s="4">
        <v>37.930669159185697</v>
      </c>
      <c r="R471" s="4">
        <v>27</v>
      </c>
      <c r="S471" s="7" t="s">
        <v>33</v>
      </c>
      <c r="T471" s="4">
        <v>193341</v>
      </c>
      <c r="U471" s="4">
        <v>750650</v>
      </c>
      <c r="V471" s="4">
        <v>1666</v>
      </c>
      <c r="W471" s="4">
        <v>121100</v>
      </c>
      <c r="X471" s="4">
        <v>202150</v>
      </c>
      <c r="Y471" s="4">
        <v>548500</v>
      </c>
      <c r="Z471" s="4">
        <v>120000</v>
      </c>
      <c r="AA471" s="4">
        <v>1100</v>
      </c>
      <c r="AB471" s="4">
        <v>79780</v>
      </c>
      <c r="AC471" s="4">
        <v>643332</v>
      </c>
      <c r="AD471" s="4">
        <v>1488</v>
      </c>
      <c r="AE471" s="4">
        <v>12372</v>
      </c>
      <c r="AF471" s="4">
        <v>736972</v>
      </c>
      <c r="AG471" s="6">
        <v>7191</v>
      </c>
      <c r="AH471" s="6">
        <v>7042</v>
      </c>
      <c r="AI471" s="6">
        <v>149</v>
      </c>
      <c r="AL471" s="4">
        <v>825</v>
      </c>
      <c r="AM471" s="4">
        <v>12895</v>
      </c>
      <c r="AN471" s="4">
        <v>1806</v>
      </c>
      <c r="AO471" s="6">
        <v>231450</v>
      </c>
      <c r="AP471" s="6">
        <v>203168</v>
      </c>
      <c r="AQ471" s="6">
        <v>28282</v>
      </c>
      <c r="AS471" s="6">
        <v>35.6</v>
      </c>
      <c r="AT471" s="6">
        <v>1.5</v>
      </c>
      <c r="AV471" s="4">
        <v>224</v>
      </c>
      <c r="AW471" s="4">
        <v>296</v>
      </c>
    </row>
    <row r="472" spans="1:49" x14ac:dyDescent="0.2">
      <c r="A472" s="1">
        <v>44255</v>
      </c>
      <c r="B472">
        <v>7.96</v>
      </c>
      <c r="C472" s="1" t="s">
        <v>59</v>
      </c>
      <c r="D472" s="1" t="s">
        <v>62</v>
      </c>
      <c r="E472" s="1" t="s">
        <v>66</v>
      </c>
      <c r="F472" s="1" t="s">
        <v>49</v>
      </c>
      <c r="G472">
        <v>935</v>
      </c>
      <c r="H472" s="4">
        <v>0</v>
      </c>
      <c r="I472" s="4">
        <v>111</v>
      </c>
      <c r="J472" s="4">
        <v>69</v>
      </c>
      <c r="K472" s="4">
        <v>49.09</v>
      </c>
      <c r="L472" s="4">
        <v>118</v>
      </c>
      <c r="M472" s="4">
        <v>36</v>
      </c>
      <c r="N472" s="4">
        <v>80</v>
      </c>
      <c r="O472" s="4">
        <v>38</v>
      </c>
      <c r="P472" s="4">
        <v>19.5984759872224</v>
      </c>
      <c r="Q472" s="4">
        <v>41.800485688065997</v>
      </c>
      <c r="R472" s="4">
        <v>28</v>
      </c>
      <c r="S472" s="7" t="s">
        <v>34</v>
      </c>
      <c r="T472" s="4">
        <v>206180</v>
      </c>
      <c r="U472" s="4">
        <v>749036</v>
      </c>
      <c r="V472" s="4">
        <v>485</v>
      </c>
      <c r="W472" s="4">
        <v>121100</v>
      </c>
      <c r="X472" s="4">
        <v>201736</v>
      </c>
      <c r="Y472" s="4">
        <v>547300</v>
      </c>
      <c r="Z472" s="4">
        <v>120000</v>
      </c>
      <c r="AA472" s="4">
        <v>1100</v>
      </c>
      <c r="AB472" s="4">
        <v>57809</v>
      </c>
      <c r="AC472" s="4">
        <v>453191</v>
      </c>
      <c r="AD472" s="4">
        <v>469</v>
      </c>
      <c r="AE472" s="4">
        <v>15751</v>
      </c>
      <c r="AF472" s="4">
        <v>527220</v>
      </c>
      <c r="AG472" s="6">
        <v>4873</v>
      </c>
      <c r="AH472" s="6">
        <v>4826</v>
      </c>
      <c r="AI472" s="6">
        <v>47</v>
      </c>
      <c r="AL472" s="4">
        <v>771</v>
      </c>
      <c r="AM472" s="4">
        <v>12789</v>
      </c>
      <c r="AN472" s="4">
        <v>1783</v>
      </c>
      <c r="AO472" s="6">
        <v>205584</v>
      </c>
      <c r="AP472" s="6">
        <v>185900</v>
      </c>
      <c r="AQ472" s="6">
        <v>19684</v>
      </c>
      <c r="AS472" s="6">
        <v>35.299999999999997</v>
      </c>
      <c r="AT472" s="6">
        <v>1.4</v>
      </c>
      <c r="AV472" s="4">
        <v>214</v>
      </c>
      <c r="AW472" s="4">
        <v>281</v>
      </c>
    </row>
    <row r="473" spans="1:49" x14ac:dyDescent="0.2">
      <c r="A473" s="1">
        <v>44254</v>
      </c>
      <c r="B473">
        <f>B472</f>
        <v>7.96</v>
      </c>
      <c r="C473" s="1" t="s">
        <v>59</v>
      </c>
      <c r="D473" s="1" t="s">
        <v>62</v>
      </c>
      <c r="E473" s="1" t="s">
        <v>66</v>
      </c>
      <c r="F473" s="1" t="s">
        <v>49</v>
      </c>
      <c r="G473">
        <v>928</v>
      </c>
      <c r="H473" s="4">
        <v>3.0000000000001099E-2</v>
      </c>
      <c r="I473" s="4">
        <v>112</v>
      </c>
      <c r="J473" s="4">
        <v>70</v>
      </c>
      <c r="K473" s="4">
        <v>73.42</v>
      </c>
      <c r="L473" s="4">
        <v>131</v>
      </c>
      <c r="M473" s="4">
        <v>37</v>
      </c>
      <c r="N473" s="4">
        <v>88</v>
      </c>
      <c r="O473" s="4">
        <v>40</v>
      </c>
      <c r="P473" s="4">
        <v>19.7324785109457</v>
      </c>
      <c r="Q473" s="4">
        <v>41.454346180281902</v>
      </c>
      <c r="R473" s="4">
        <v>30</v>
      </c>
      <c r="S473" s="7" t="s">
        <v>34</v>
      </c>
      <c r="T473" s="4">
        <v>277819</v>
      </c>
      <c r="U473" s="4">
        <v>750052</v>
      </c>
      <c r="V473" s="4">
        <v>1043</v>
      </c>
      <c r="W473" s="4">
        <v>121100</v>
      </c>
      <c r="X473" s="4">
        <v>202152</v>
      </c>
      <c r="Y473" s="4">
        <v>547900</v>
      </c>
      <c r="Z473" s="4">
        <v>120000</v>
      </c>
      <c r="AA473" s="4">
        <v>1100</v>
      </c>
      <c r="AB473" s="4">
        <v>69242</v>
      </c>
      <c r="AC473" s="4">
        <v>294875</v>
      </c>
      <c r="AD473" s="4">
        <v>1025</v>
      </c>
      <c r="AE473" s="4">
        <v>16248</v>
      </c>
      <c r="AF473" s="4">
        <v>381390</v>
      </c>
      <c r="AG473" s="6">
        <v>4949</v>
      </c>
      <c r="AH473" s="6">
        <v>4910</v>
      </c>
      <c r="AI473" s="6">
        <v>39</v>
      </c>
      <c r="AL473" s="4">
        <v>742</v>
      </c>
      <c r="AM473" s="4">
        <v>13270</v>
      </c>
      <c r="AN473" s="4">
        <v>1903</v>
      </c>
      <c r="AO473" s="6">
        <v>434825</v>
      </c>
      <c r="AP473" s="6">
        <v>407503</v>
      </c>
      <c r="AQ473" s="6">
        <v>27322</v>
      </c>
      <c r="AS473" s="6">
        <v>34.9</v>
      </c>
      <c r="AT473" s="6">
        <v>1.4</v>
      </c>
      <c r="AV473" s="4">
        <v>230</v>
      </c>
      <c r="AW473" s="4">
        <v>306</v>
      </c>
    </row>
    <row r="474" spans="1:49" x14ac:dyDescent="0.2">
      <c r="A474" s="1">
        <v>44253</v>
      </c>
      <c r="B474">
        <f t="shared" ref="B474:B478" si="66">B473</f>
        <v>7.96</v>
      </c>
      <c r="C474" s="1" t="s">
        <v>59</v>
      </c>
      <c r="D474" s="1" t="s">
        <v>62</v>
      </c>
      <c r="E474" s="1" t="s">
        <v>66</v>
      </c>
      <c r="F474" s="1" t="s">
        <v>49</v>
      </c>
      <c r="G474">
        <v>913</v>
      </c>
      <c r="H474" s="4">
        <v>7.9999999999998295E-2</v>
      </c>
      <c r="I474" s="4">
        <v>123</v>
      </c>
      <c r="J474" s="4">
        <v>44</v>
      </c>
      <c r="K474" s="4">
        <v>60.31</v>
      </c>
      <c r="L474" s="4">
        <v>134</v>
      </c>
      <c r="M474" s="4">
        <v>38</v>
      </c>
      <c r="N474" s="4">
        <v>91</v>
      </c>
      <c r="O474" s="4">
        <v>37</v>
      </c>
      <c r="P474" s="4">
        <v>19.652093811452801</v>
      </c>
      <c r="Q474" s="4">
        <v>38.245221081307498</v>
      </c>
      <c r="R474" s="4">
        <v>26</v>
      </c>
      <c r="S474" s="7" t="s">
        <v>34</v>
      </c>
      <c r="T474" s="4">
        <v>302803</v>
      </c>
      <c r="U474" s="4">
        <v>777124</v>
      </c>
      <c r="V474" s="4">
        <v>2995</v>
      </c>
      <c r="W474" s="4">
        <v>121100</v>
      </c>
      <c r="X474" s="4">
        <v>202724</v>
      </c>
      <c r="Y474" s="4">
        <v>574400</v>
      </c>
      <c r="Z474" s="4">
        <v>120000</v>
      </c>
      <c r="AA474" s="4">
        <v>1100</v>
      </c>
      <c r="AB474" s="4">
        <v>80076</v>
      </c>
      <c r="AC474" s="4">
        <v>508327</v>
      </c>
      <c r="AD474" s="4">
        <v>2112</v>
      </c>
      <c r="AE474" s="4">
        <v>16437</v>
      </c>
      <c r="AF474" s="4">
        <v>606952</v>
      </c>
      <c r="AG474" s="6">
        <v>6783</v>
      </c>
      <c r="AH474" s="6">
        <v>6713</v>
      </c>
      <c r="AI474" s="6">
        <v>70</v>
      </c>
      <c r="AL474" s="4">
        <v>864</v>
      </c>
      <c r="AM474" s="4">
        <v>14078</v>
      </c>
      <c r="AN474" s="4">
        <v>1971</v>
      </c>
      <c r="AO474" s="6">
        <v>537266</v>
      </c>
      <c r="AP474" s="6">
        <v>504493</v>
      </c>
      <c r="AQ474" s="6">
        <v>32773</v>
      </c>
      <c r="AS474" s="6">
        <v>34.200000000000003</v>
      </c>
      <c r="AT474" s="6">
        <v>1.3</v>
      </c>
      <c r="AV474" s="4">
        <v>229</v>
      </c>
      <c r="AW474" s="4">
        <v>303</v>
      </c>
    </row>
    <row r="475" spans="1:49" x14ac:dyDescent="0.2">
      <c r="A475" s="1">
        <v>44252</v>
      </c>
      <c r="B475">
        <f t="shared" si="66"/>
        <v>7.96</v>
      </c>
      <c r="C475" s="1" t="s">
        <v>59</v>
      </c>
      <c r="D475" s="1" t="s">
        <v>62</v>
      </c>
      <c r="E475" s="1" t="s">
        <v>66</v>
      </c>
      <c r="F475" s="1" t="s">
        <v>49</v>
      </c>
      <c r="G475">
        <v>904</v>
      </c>
      <c r="H475" s="4">
        <v>1.00000000000051E-2</v>
      </c>
      <c r="I475" s="4">
        <v>125</v>
      </c>
      <c r="J475" s="4">
        <v>42</v>
      </c>
      <c r="K475" s="4">
        <v>48.58</v>
      </c>
      <c r="L475" s="4">
        <v>97</v>
      </c>
      <c r="M475" s="4">
        <v>35</v>
      </c>
      <c r="N475" s="4">
        <v>83</v>
      </c>
      <c r="O475" s="4">
        <v>33</v>
      </c>
      <c r="P475" s="4">
        <v>18.2871828792752</v>
      </c>
      <c r="Q475" s="4">
        <v>35.335206517972402</v>
      </c>
      <c r="R475" s="4">
        <v>23</v>
      </c>
      <c r="S475" s="7" t="s">
        <v>34</v>
      </c>
      <c r="T475" s="4">
        <v>325164</v>
      </c>
      <c r="U475" s="4">
        <v>779624</v>
      </c>
      <c r="V475" s="4">
        <v>3996</v>
      </c>
      <c r="W475" s="4">
        <v>121100</v>
      </c>
      <c r="X475" s="4">
        <v>202724</v>
      </c>
      <c r="Y475" s="4">
        <v>576900</v>
      </c>
      <c r="Z475" s="4">
        <v>120000</v>
      </c>
      <c r="AA475" s="4">
        <v>1100</v>
      </c>
      <c r="AB475" s="4">
        <v>80578</v>
      </c>
      <c r="AC475" s="4">
        <v>632521</v>
      </c>
      <c r="AD475" s="4">
        <v>3678</v>
      </c>
      <c r="AE475" s="4">
        <v>15516</v>
      </c>
      <c r="AF475" s="4">
        <v>732293</v>
      </c>
      <c r="AG475" s="6">
        <v>8025</v>
      </c>
      <c r="AH475" s="6">
        <v>7901</v>
      </c>
      <c r="AI475" s="6">
        <v>124</v>
      </c>
      <c r="AL475" s="4">
        <v>971</v>
      </c>
      <c r="AM475" s="4">
        <v>14850</v>
      </c>
      <c r="AN475" s="4">
        <v>2047</v>
      </c>
      <c r="AO475" s="6">
        <v>521039</v>
      </c>
      <c r="AP475" s="6">
        <v>485720</v>
      </c>
      <c r="AQ475" s="6">
        <v>35319</v>
      </c>
      <c r="AS475" s="6">
        <v>33.299999999999997</v>
      </c>
      <c r="AT475" s="6">
        <v>1.3</v>
      </c>
      <c r="AV475" s="4">
        <v>260</v>
      </c>
      <c r="AW475" s="4">
        <v>354</v>
      </c>
    </row>
    <row r="476" spans="1:49" x14ac:dyDescent="0.2">
      <c r="A476" s="1">
        <v>44251</v>
      </c>
      <c r="B476">
        <f t="shared" si="66"/>
        <v>7.96</v>
      </c>
      <c r="C476" s="1" t="s">
        <v>59</v>
      </c>
      <c r="D476" s="1" t="s">
        <v>62</v>
      </c>
      <c r="E476" s="1" t="s">
        <v>66</v>
      </c>
      <c r="F476" s="1" t="s">
        <v>49</v>
      </c>
      <c r="G476">
        <v>898</v>
      </c>
      <c r="H476" s="4">
        <v>0</v>
      </c>
      <c r="I476" s="4">
        <v>124</v>
      </c>
      <c r="J476" s="4">
        <v>42</v>
      </c>
      <c r="K476" s="4">
        <v>51.03</v>
      </c>
      <c r="L476" s="4">
        <v>116</v>
      </c>
      <c r="M476" s="4">
        <v>36</v>
      </c>
      <c r="N476" s="4">
        <v>82</v>
      </c>
      <c r="O476" s="4">
        <v>34</v>
      </c>
      <c r="P476" s="4">
        <v>18.8129500112809</v>
      </c>
      <c r="Q476" s="4">
        <v>35.023116625511499</v>
      </c>
      <c r="R476" s="4">
        <v>24</v>
      </c>
      <c r="S476" s="7" t="s">
        <v>34</v>
      </c>
      <c r="T476" s="4">
        <v>344567</v>
      </c>
      <c r="U476" s="4">
        <v>782602</v>
      </c>
      <c r="V476" s="4">
        <v>2540</v>
      </c>
      <c r="W476" s="4">
        <v>121100</v>
      </c>
      <c r="X476" s="4">
        <v>202724</v>
      </c>
      <c r="Y476" s="4">
        <v>576000</v>
      </c>
      <c r="Z476" s="4">
        <v>120000</v>
      </c>
      <c r="AA476" s="4">
        <v>4978</v>
      </c>
      <c r="AB476" s="4">
        <v>93691</v>
      </c>
      <c r="AC476" s="4">
        <v>621507</v>
      </c>
      <c r="AD476" s="4">
        <v>2236</v>
      </c>
      <c r="AE476" s="4">
        <v>22958</v>
      </c>
      <c r="AF476" s="4">
        <v>740392</v>
      </c>
      <c r="AG476" s="6">
        <v>8845</v>
      </c>
      <c r="AH476" s="6">
        <v>8732</v>
      </c>
      <c r="AI476" s="6">
        <v>113</v>
      </c>
      <c r="AL476" s="4">
        <v>1022</v>
      </c>
      <c r="AM476" s="4">
        <v>15535</v>
      </c>
      <c r="AN476" s="4">
        <v>2118</v>
      </c>
      <c r="AO476" s="6">
        <v>480575</v>
      </c>
      <c r="AP476" s="6">
        <v>448962</v>
      </c>
      <c r="AQ476" s="6">
        <v>31613</v>
      </c>
      <c r="AS476" s="6">
        <v>32.5</v>
      </c>
      <c r="AT476" s="6">
        <v>1.2</v>
      </c>
      <c r="AV476" s="4">
        <v>275</v>
      </c>
      <c r="AW476" s="4">
        <v>365</v>
      </c>
    </row>
    <row r="477" spans="1:49" x14ac:dyDescent="0.2">
      <c r="A477" s="1">
        <v>44250</v>
      </c>
      <c r="B477">
        <f t="shared" si="66"/>
        <v>7.96</v>
      </c>
      <c r="C477" s="1" t="s">
        <v>59</v>
      </c>
      <c r="D477" s="1" t="s">
        <v>62</v>
      </c>
      <c r="E477" s="1" t="s">
        <v>66</v>
      </c>
      <c r="F477" s="1" t="s">
        <v>49</v>
      </c>
      <c r="G477">
        <v>888</v>
      </c>
      <c r="H477" s="4">
        <v>4.9999999999997199E-2</v>
      </c>
      <c r="I477" s="4">
        <v>123</v>
      </c>
      <c r="J477" s="4">
        <v>41</v>
      </c>
      <c r="K477" s="4">
        <v>50.2</v>
      </c>
      <c r="L477" s="4">
        <v>118</v>
      </c>
      <c r="M477" s="4">
        <v>38</v>
      </c>
      <c r="N477" s="4">
        <v>82</v>
      </c>
      <c r="O477" s="4">
        <v>34</v>
      </c>
      <c r="P477" s="4">
        <v>18.8524106154672</v>
      </c>
      <c r="Q477" s="4">
        <v>35.205949155733798</v>
      </c>
      <c r="R477" s="4">
        <v>25</v>
      </c>
      <c r="S477" s="7" t="s">
        <v>34</v>
      </c>
      <c r="T477" s="4">
        <v>301471</v>
      </c>
      <c r="U477" s="4">
        <v>782320</v>
      </c>
      <c r="V477" s="4">
        <v>2616</v>
      </c>
      <c r="W477" s="4">
        <v>121100</v>
      </c>
      <c r="X477" s="4">
        <v>202724</v>
      </c>
      <c r="Y477" s="4">
        <v>576900</v>
      </c>
      <c r="Z477" s="4">
        <v>120000</v>
      </c>
      <c r="AA477" s="4">
        <v>3796</v>
      </c>
      <c r="AB477" s="4">
        <v>98517</v>
      </c>
      <c r="AC477" s="4">
        <v>484459</v>
      </c>
      <c r="AD477" s="4">
        <v>2270</v>
      </c>
      <c r="AE477" s="4">
        <v>15528</v>
      </c>
      <c r="AF477" s="4">
        <v>600774</v>
      </c>
      <c r="AG477" s="6">
        <v>9762</v>
      </c>
      <c r="AH477" s="6">
        <v>9632</v>
      </c>
      <c r="AI477" s="6">
        <v>130</v>
      </c>
      <c r="AL477" s="4">
        <v>1120</v>
      </c>
      <c r="AM477" s="4">
        <v>16116</v>
      </c>
      <c r="AN477" s="4">
        <v>2149</v>
      </c>
      <c r="AO477" s="6">
        <v>353009</v>
      </c>
      <c r="AP477" s="6">
        <v>326692</v>
      </c>
      <c r="AQ477" s="6">
        <v>26317</v>
      </c>
      <c r="AS477" s="6">
        <v>31.7</v>
      </c>
      <c r="AT477" s="6">
        <v>1.2</v>
      </c>
      <c r="AV477" s="4">
        <v>290</v>
      </c>
      <c r="AW477" s="4">
        <v>380</v>
      </c>
    </row>
    <row r="478" spans="1:49" x14ac:dyDescent="0.2">
      <c r="A478" s="1">
        <v>44249</v>
      </c>
      <c r="B478">
        <f t="shared" si="66"/>
        <v>7.96</v>
      </c>
      <c r="C478" s="1" t="s">
        <v>59</v>
      </c>
      <c r="D478" s="1" t="s">
        <v>62</v>
      </c>
      <c r="E478" s="1" t="s">
        <v>66</v>
      </c>
      <c r="F478" s="1" t="s">
        <v>49</v>
      </c>
      <c r="G478">
        <v>877</v>
      </c>
      <c r="H478" s="4">
        <v>0</v>
      </c>
      <c r="I478" s="4">
        <v>123</v>
      </c>
      <c r="J478" s="4">
        <v>41</v>
      </c>
      <c r="K478" s="4">
        <v>45.27</v>
      </c>
      <c r="L478" s="4">
        <v>89</v>
      </c>
      <c r="M478" s="4">
        <v>37</v>
      </c>
      <c r="N478" s="4">
        <v>78</v>
      </c>
      <c r="O478" s="4">
        <v>34</v>
      </c>
      <c r="P478" s="4">
        <v>18.904205426753901</v>
      </c>
      <c r="Q478" s="4">
        <v>33.582488505892897</v>
      </c>
      <c r="R478" s="4">
        <v>25</v>
      </c>
      <c r="S478" s="7" t="s">
        <v>34</v>
      </c>
      <c r="T478" s="4">
        <v>184163</v>
      </c>
      <c r="U478" s="4">
        <v>782199</v>
      </c>
      <c r="V478" s="4">
        <v>2263</v>
      </c>
      <c r="W478" s="4">
        <v>121100</v>
      </c>
      <c r="X478" s="4">
        <v>201222</v>
      </c>
      <c r="Y478" s="4">
        <v>575900</v>
      </c>
      <c r="Z478" s="4">
        <v>120000</v>
      </c>
      <c r="AA478" s="4">
        <v>6177</v>
      </c>
      <c r="AB478" s="4">
        <v>81475</v>
      </c>
      <c r="AC478" s="4">
        <v>577597</v>
      </c>
      <c r="AD478" s="4">
        <v>2114</v>
      </c>
      <c r="AE478" s="4">
        <v>17273</v>
      </c>
      <c r="AF478" s="4">
        <v>678459</v>
      </c>
      <c r="AG478" s="6">
        <v>11655</v>
      </c>
      <c r="AH478" s="6">
        <v>11473</v>
      </c>
      <c r="AI478" s="6">
        <v>182</v>
      </c>
      <c r="AL478" s="4">
        <v>1120</v>
      </c>
      <c r="AM478" s="4">
        <v>16856</v>
      </c>
      <c r="AN478" s="4">
        <v>2273</v>
      </c>
      <c r="AO478" s="6">
        <v>210804</v>
      </c>
      <c r="AP478" s="6">
        <v>192341</v>
      </c>
      <c r="AQ478" s="6">
        <v>18463</v>
      </c>
      <c r="AS478" s="6">
        <v>31.2</v>
      </c>
      <c r="AT478" s="6">
        <v>1.1000000000000001</v>
      </c>
      <c r="AV478" s="4">
        <v>282</v>
      </c>
      <c r="AW478" s="4">
        <v>379</v>
      </c>
    </row>
    <row r="479" spans="1:49" x14ac:dyDescent="0.2">
      <c r="A479" s="1">
        <v>44248</v>
      </c>
      <c r="B479">
        <v>17.27</v>
      </c>
      <c r="C479" s="1" t="s">
        <v>59</v>
      </c>
      <c r="D479" s="1" t="s">
        <v>62</v>
      </c>
      <c r="E479" s="1" t="s">
        <v>66</v>
      </c>
      <c r="F479" s="1" t="s">
        <v>49</v>
      </c>
      <c r="G479">
        <v>871</v>
      </c>
      <c r="H479" s="4">
        <v>0</v>
      </c>
      <c r="I479" s="4">
        <v>111</v>
      </c>
      <c r="J479" s="4">
        <v>68</v>
      </c>
      <c r="K479" s="4">
        <v>48.76</v>
      </c>
      <c r="L479" s="4">
        <v>128</v>
      </c>
      <c r="M479" s="4">
        <v>35</v>
      </c>
      <c r="N479" s="4">
        <v>77</v>
      </c>
      <c r="O479" s="4">
        <v>37</v>
      </c>
      <c r="P479" s="4">
        <v>18.299316656748299</v>
      </c>
      <c r="Q479" s="4">
        <v>39.867392493479898</v>
      </c>
      <c r="R479" s="4">
        <v>27</v>
      </c>
      <c r="S479" s="7" t="s">
        <v>34</v>
      </c>
      <c r="T479" s="4">
        <v>254290</v>
      </c>
      <c r="U479" s="4">
        <v>742393</v>
      </c>
      <c r="V479" s="4">
        <v>537</v>
      </c>
      <c r="W479" s="4">
        <v>121100</v>
      </c>
      <c r="X479" s="4">
        <v>200736</v>
      </c>
      <c r="Y479" s="4">
        <v>535300</v>
      </c>
      <c r="Z479" s="4">
        <v>120000</v>
      </c>
      <c r="AA479" s="4">
        <v>7457</v>
      </c>
      <c r="AB479" s="4">
        <v>60479</v>
      </c>
      <c r="AC479" s="4">
        <v>507019</v>
      </c>
      <c r="AD479" s="4">
        <v>454</v>
      </c>
      <c r="AE479" s="4">
        <v>23133</v>
      </c>
      <c r="AF479" s="4">
        <v>591085</v>
      </c>
      <c r="AG479" s="6">
        <v>8097</v>
      </c>
      <c r="AH479" s="6">
        <v>8041</v>
      </c>
      <c r="AI479" s="6">
        <v>56</v>
      </c>
      <c r="AL479" s="4">
        <v>1157</v>
      </c>
      <c r="AM479" s="4">
        <v>16858</v>
      </c>
      <c r="AN479" s="4">
        <v>2329</v>
      </c>
      <c r="AO479" s="6">
        <v>150896</v>
      </c>
      <c r="AP479" s="6">
        <v>141719</v>
      </c>
      <c r="AQ479" s="6">
        <v>9177</v>
      </c>
      <c r="AS479" s="6">
        <v>30.8</v>
      </c>
      <c r="AT479" s="6">
        <v>1.1000000000000001</v>
      </c>
      <c r="AV479" s="4">
        <v>327</v>
      </c>
      <c r="AW479" s="4">
        <v>411</v>
      </c>
    </row>
    <row r="480" spans="1:49" x14ac:dyDescent="0.2">
      <c r="A480" s="1">
        <v>44247</v>
      </c>
      <c r="B480">
        <f>B479</f>
        <v>17.27</v>
      </c>
      <c r="C480" s="1" t="s">
        <v>59</v>
      </c>
      <c r="D480" s="1" t="s">
        <v>62</v>
      </c>
      <c r="E480" s="1" t="s">
        <v>66</v>
      </c>
      <c r="F480" s="1" t="s">
        <v>49</v>
      </c>
      <c r="G480">
        <v>861</v>
      </c>
      <c r="H480" s="4">
        <v>4.9999999999997199E-2</v>
      </c>
      <c r="I480" s="4">
        <v>114</v>
      </c>
      <c r="J480" s="4">
        <v>67</v>
      </c>
      <c r="K480" s="4">
        <v>65.02</v>
      </c>
      <c r="L480" s="4">
        <v>113</v>
      </c>
      <c r="M480" s="4">
        <v>35</v>
      </c>
      <c r="N480" s="4">
        <v>84</v>
      </c>
      <c r="O480" s="4">
        <v>38</v>
      </c>
      <c r="P480" s="4">
        <v>17.899582139974299</v>
      </c>
      <c r="Q480" s="4">
        <v>38.421429560497103</v>
      </c>
      <c r="R480" s="4">
        <v>27</v>
      </c>
      <c r="S480" s="7" t="s">
        <v>34</v>
      </c>
      <c r="T480" s="4">
        <v>297000</v>
      </c>
      <c r="U480" s="4">
        <v>783611</v>
      </c>
      <c r="V480" s="4">
        <v>956</v>
      </c>
      <c r="W480" s="4">
        <v>121100</v>
      </c>
      <c r="X480" s="4">
        <v>201152</v>
      </c>
      <c r="Y480" s="4">
        <v>574300</v>
      </c>
      <c r="Z480" s="4">
        <v>120000</v>
      </c>
      <c r="AA480" s="4">
        <v>9259</v>
      </c>
      <c r="AB480" s="4">
        <v>71539</v>
      </c>
      <c r="AC480" s="4">
        <v>309069</v>
      </c>
      <c r="AD480" s="4">
        <v>846</v>
      </c>
      <c r="AE480" s="4">
        <v>23954</v>
      </c>
      <c r="AF480" s="4">
        <v>405408</v>
      </c>
      <c r="AG480" s="6">
        <v>8312</v>
      </c>
      <c r="AH480" s="6">
        <v>8247</v>
      </c>
      <c r="AI480" s="6">
        <v>65</v>
      </c>
      <c r="AL480" s="4">
        <v>1091</v>
      </c>
      <c r="AM480" s="4">
        <v>17043</v>
      </c>
      <c r="AN480" s="4">
        <v>2358</v>
      </c>
      <c r="AO480" s="6">
        <v>344942</v>
      </c>
      <c r="AP480" s="6">
        <v>334679</v>
      </c>
      <c r="AQ480" s="6">
        <v>10263</v>
      </c>
      <c r="AS480" s="6">
        <v>30.6</v>
      </c>
      <c r="AT480" s="6">
        <v>1.1000000000000001</v>
      </c>
      <c r="AV480" s="4">
        <v>353</v>
      </c>
      <c r="AW480" s="4">
        <v>452</v>
      </c>
    </row>
    <row r="481" spans="1:49" x14ac:dyDescent="0.2">
      <c r="A481" s="1">
        <v>44246</v>
      </c>
      <c r="B481">
        <f t="shared" ref="B481:B485" si="67">B480</f>
        <v>17.27</v>
      </c>
      <c r="C481" s="1" t="s">
        <v>59</v>
      </c>
      <c r="D481" s="1" t="s">
        <v>62</v>
      </c>
      <c r="E481" s="1" t="s">
        <v>66</v>
      </c>
      <c r="F481" s="1" t="s">
        <v>49</v>
      </c>
      <c r="G481">
        <v>861</v>
      </c>
      <c r="H481" s="4">
        <v>4.0000000000006301E-2</v>
      </c>
      <c r="I481" s="4">
        <v>125</v>
      </c>
      <c r="J481" s="4">
        <v>40</v>
      </c>
      <c r="K481" s="4">
        <v>52.67</v>
      </c>
      <c r="L481" s="4">
        <v>91</v>
      </c>
      <c r="M481" s="4">
        <v>34</v>
      </c>
      <c r="N481" s="4">
        <v>84</v>
      </c>
      <c r="O481" s="4">
        <v>33</v>
      </c>
      <c r="P481" s="4">
        <v>17.611423685799</v>
      </c>
      <c r="Q481" s="4">
        <v>34.653599588798699</v>
      </c>
      <c r="R481" s="4">
        <v>23</v>
      </c>
      <c r="S481" s="7" t="s">
        <v>34</v>
      </c>
      <c r="T481" s="4">
        <v>306523</v>
      </c>
      <c r="U481" s="4">
        <v>788129</v>
      </c>
      <c r="V481" s="4">
        <v>3257</v>
      </c>
      <c r="W481" s="4">
        <v>121100</v>
      </c>
      <c r="X481" s="4">
        <v>201724</v>
      </c>
      <c r="Y481" s="4">
        <v>576817</v>
      </c>
      <c r="Z481" s="4">
        <v>120000</v>
      </c>
      <c r="AA481" s="4">
        <v>10688</v>
      </c>
      <c r="AB481" s="4">
        <v>79987</v>
      </c>
      <c r="AC481" s="4">
        <v>416580</v>
      </c>
      <c r="AD481" s="4">
        <v>2100</v>
      </c>
      <c r="AE481" s="4">
        <v>26091</v>
      </c>
      <c r="AF481" s="4">
        <v>524758</v>
      </c>
      <c r="AG481" s="6">
        <v>10728</v>
      </c>
      <c r="AH481" s="6">
        <v>10603</v>
      </c>
      <c r="AI481" s="6">
        <v>125</v>
      </c>
      <c r="AL481" s="4">
        <v>1272</v>
      </c>
      <c r="AM481" s="4">
        <v>17861</v>
      </c>
      <c r="AN481" s="4">
        <v>2469</v>
      </c>
      <c r="AO481" s="6">
        <v>387200</v>
      </c>
      <c r="AP481" s="6">
        <v>371906</v>
      </c>
      <c r="AQ481" s="6">
        <v>15294</v>
      </c>
      <c r="AS481" s="6">
        <v>30</v>
      </c>
      <c r="AT481" s="6">
        <v>1.1000000000000001</v>
      </c>
      <c r="AV481" s="4">
        <v>382</v>
      </c>
      <c r="AW481" s="4">
        <v>469</v>
      </c>
    </row>
    <row r="482" spans="1:49" x14ac:dyDescent="0.2">
      <c r="A482" s="1">
        <v>44245</v>
      </c>
      <c r="B482">
        <f t="shared" si="67"/>
        <v>17.27</v>
      </c>
      <c r="C482" s="1" t="s">
        <v>59</v>
      </c>
      <c r="D482" s="1" t="s">
        <v>62</v>
      </c>
      <c r="E482" s="1" t="s">
        <v>66</v>
      </c>
      <c r="F482" s="1" t="s">
        <v>49</v>
      </c>
      <c r="G482">
        <v>862</v>
      </c>
      <c r="H482" s="4">
        <v>1.00000000000051E-2</v>
      </c>
      <c r="I482" s="4">
        <v>125</v>
      </c>
      <c r="J482" s="4">
        <v>38</v>
      </c>
      <c r="K482" s="4">
        <v>48.34</v>
      </c>
      <c r="L482" s="4">
        <v>100</v>
      </c>
      <c r="M482" s="4">
        <v>35</v>
      </c>
      <c r="N482" s="4">
        <v>82</v>
      </c>
      <c r="O482" s="4">
        <v>32</v>
      </c>
      <c r="P482" s="4">
        <v>17.417297537558799</v>
      </c>
      <c r="Q482" s="4">
        <v>33.482634737300003</v>
      </c>
      <c r="R482" s="4">
        <v>22</v>
      </c>
      <c r="S482" s="7" t="s">
        <v>34</v>
      </c>
      <c r="T482" s="4">
        <v>330100</v>
      </c>
      <c r="U482" s="4">
        <v>788913</v>
      </c>
      <c r="V482" s="4">
        <v>4724</v>
      </c>
      <c r="W482" s="4">
        <v>121100</v>
      </c>
      <c r="X482" s="4">
        <v>201724</v>
      </c>
      <c r="Y482" s="4">
        <v>575300</v>
      </c>
      <c r="Z482" s="4">
        <v>120000</v>
      </c>
      <c r="AA482" s="4">
        <v>12989</v>
      </c>
      <c r="AB482" s="4">
        <v>78202</v>
      </c>
      <c r="AC482" s="4">
        <v>449301</v>
      </c>
      <c r="AD482" s="4">
        <v>3019</v>
      </c>
      <c r="AE482" s="4">
        <v>31304</v>
      </c>
      <c r="AF482" s="4">
        <v>561826</v>
      </c>
      <c r="AG482" s="6">
        <v>11794</v>
      </c>
      <c r="AH482" s="6">
        <v>11680</v>
      </c>
      <c r="AI482" s="6">
        <v>114</v>
      </c>
      <c r="AL482" s="4">
        <v>1339</v>
      </c>
      <c r="AM482" s="4">
        <v>18523</v>
      </c>
      <c r="AN482" s="4">
        <v>2535</v>
      </c>
      <c r="AO482" s="6">
        <v>468321</v>
      </c>
      <c r="AP482" s="6">
        <v>452454</v>
      </c>
      <c r="AQ482" s="6">
        <v>15867</v>
      </c>
      <c r="AS482" s="6">
        <v>29.3</v>
      </c>
      <c r="AT482" s="6">
        <v>1</v>
      </c>
      <c r="AV482" s="4">
        <v>420</v>
      </c>
      <c r="AW482" s="4">
        <v>521</v>
      </c>
    </row>
    <row r="483" spans="1:49" x14ac:dyDescent="0.2">
      <c r="A483" s="1">
        <v>44244</v>
      </c>
      <c r="B483">
        <f t="shared" si="67"/>
        <v>17.27</v>
      </c>
      <c r="C483" s="1" t="s">
        <v>59</v>
      </c>
      <c r="D483" s="1" t="s">
        <v>62</v>
      </c>
      <c r="E483" s="1" t="s">
        <v>66</v>
      </c>
      <c r="F483" s="1" t="s">
        <v>49</v>
      </c>
      <c r="G483">
        <v>853</v>
      </c>
      <c r="H483" s="4">
        <v>1.9999999999996E-2</v>
      </c>
      <c r="I483" s="4">
        <v>125</v>
      </c>
      <c r="J483" s="4">
        <v>38</v>
      </c>
      <c r="K483" s="4">
        <v>46.66</v>
      </c>
      <c r="L483" s="4">
        <v>79</v>
      </c>
      <c r="M483" s="4">
        <v>34</v>
      </c>
      <c r="N483" s="4">
        <v>78</v>
      </c>
      <c r="O483" s="4">
        <v>32</v>
      </c>
      <c r="P483" s="4">
        <v>17.627165728158801</v>
      </c>
      <c r="Q483" s="4">
        <v>33.355072883902203</v>
      </c>
      <c r="R483" s="4">
        <v>22</v>
      </c>
      <c r="S483" s="7" t="s">
        <v>34</v>
      </c>
      <c r="T483" s="4">
        <v>356434</v>
      </c>
      <c r="U483" s="4">
        <v>789705</v>
      </c>
      <c r="V483" s="4">
        <v>3366</v>
      </c>
      <c r="W483" s="4">
        <v>121100</v>
      </c>
      <c r="X483" s="4">
        <v>201699</v>
      </c>
      <c r="Y483" s="4">
        <v>576800</v>
      </c>
      <c r="Z483" s="4">
        <v>120000</v>
      </c>
      <c r="AA483" s="4">
        <v>12306</v>
      </c>
      <c r="AB483" s="4">
        <v>93258</v>
      </c>
      <c r="AC483" s="4">
        <v>450756</v>
      </c>
      <c r="AD483" s="4">
        <v>2490</v>
      </c>
      <c r="AE483" s="4">
        <v>33368</v>
      </c>
      <c r="AF483" s="4">
        <v>579872</v>
      </c>
      <c r="AG483" s="6">
        <v>11942</v>
      </c>
      <c r="AH483" s="6">
        <v>11814</v>
      </c>
      <c r="AI483" s="6">
        <v>128</v>
      </c>
      <c r="AL483" s="4">
        <v>1411</v>
      </c>
      <c r="AM483" s="4">
        <v>19450</v>
      </c>
      <c r="AN483" s="4">
        <v>2614</v>
      </c>
      <c r="AO483" s="6">
        <v>497257</v>
      </c>
      <c r="AP483" s="6">
        <v>482110</v>
      </c>
      <c r="AQ483" s="6">
        <v>15147</v>
      </c>
      <c r="AS483" s="6">
        <v>28.6</v>
      </c>
      <c r="AT483" s="6">
        <v>1</v>
      </c>
      <c r="AV483" s="4">
        <v>431</v>
      </c>
      <c r="AW483" s="4">
        <v>505</v>
      </c>
    </row>
    <row r="484" spans="1:49" x14ac:dyDescent="0.2">
      <c r="A484" s="1">
        <v>44243</v>
      </c>
      <c r="B484">
        <f t="shared" si="67"/>
        <v>17.27</v>
      </c>
      <c r="C484" s="1" t="s">
        <v>59</v>
      </c>
      <c r="D484" s="1" t="s">
        <v>62</v>
      </c>
      <c r="E484" s="1" t="s">
        <v>66</v>
      </c>
      <c r="F484" s="1" t="s">
        <v>49</v>
      </c>
      <c r="G484">
        <v>864</v>
      </c>
      <c r="H484" s="4">
        <v>4.0000000000006301E-2</v>
      </c>
      <c r="I484" s="4">
        <v>125</v>
      </c>
      <c r="J484" s="4">
        <v>37</v>
      </c>
      <c r="K484" s="4">
        <v>45.19</v>
      </c>
      <c r="L484" s="4">
        <v>81</v>
      </c>
      <c r="M484" s="4">
        <v>35</v>
      </c>
      <c r="N484" s="4">
        <v>79</v>
      </c>
      <c r="O484" s="4">
        <v>32</v>
      </c>
      <c r="P484" s="4">
        <v>17.436549223541199</v>
      </c>
      <c r="Q484" s="4">
        <v>33.035504529057803</v>
      </c>
      <c r="R484" s="4">
        <v>22</v>
      </c>
      <c r="S484" s="7" t="s">
        <v>34</v>
      </c>
      <c r="T484" s="4">
        <v>297156</v>
      </c>
      <c r="U484" s="4">
        <v>787238</v>
      </c>
      <c r="V484" s="4">
        <v>3546</v>
      </c>
      <c r="W484" s="4">
        <v>121100</v>
      </c>
      <c r="X484" s="4">
        <v>201699</v>
      </c>
      <c r="Y484" s="4">
        <v>576800</v>
      </c>
      <c r="Z484" s="4">
        <v>120000</v>
      </c>
      <c r="AA484" s="4">
        <v>9839</v>
      </c>
      <c r="AB484" s="4">
        <v>100317</v>
      </c>
      <c r="AC484" s="4">
        <v>369040</v>
      </c>
      <c r="AD484" s="4">
        <v>2683</v>
      </c>
      <c r="AE484" s="4">
        <v>23179</v>
      </c>
      <c r="AF484" s="4">
        <v>495219</v>
      </c>
      <c r="AG484" s="6">
        <v>12941</v>
      </c>
      <c r="AH484" s="6">
        <v>12820</v>
      </c>
      <c r="AI484" s="6">
        <v>121</v>
      </c>
      <c r="AL484" s="4">
        <v>1495</v>
      </c>
      <c r="AM484" s="4">
        <v>20216</v>
      </c>
      <c r="AN484" s="4">
        <v>2708</v>
      </c>
      <c r="AO484" s="6">
        <v>377277</v>
      </c>
      <c r="AP484" s="6">
        <v>364865</v>
      </c>
      <c r="AQ484" s="6">
        <v>12412</v>
      </c>
      <c r="AS484" s="6">
        <v>27.7</v>
      </c>
      <c r="AT484" s="6">
        <v>1</v>
      </c>
      <c r="AV484" s="4">
        <v>448</v>
      </c>
      <c r="AW484" s="4">
        <v>566</v>
      </c>
    </row>
    <row r="485" spans="1:49" x14ac:dyDescent="0.2">
      <c r="A485" s="1">
        <v>44242</v>
      </c>
      <c r="B485">
        <f t="shared" si="67"/>
        <v>17.27</v>
      </c>
      <c r="C485" s="1" t="s">
        <v>59</v>
      </c>
      <c r="D485" s="1" t="s">
        <v>62</v>
      </c>
      <c r="E485" s="1" t="s">
        <v>66</v>
      </c>
      <c r="F485" s="1" t="s">
        <v>49</v>
      </c>
      <c r="G485">
        <v>875</v>
      </c>
      <c r="H485" s="4">
        <v>1.9999999999996E-2</v>
      </c>
      <c r="I485" s="4">
        <v>123</v>
      </c>
      <c r="J485" s="4">
        <v>37</v>
      </c>
      <c r="K485" s="4">
        <v>45.97</v>
      </c>
      <c r="L485" s="4">
        <v>109</v>
      </c>
      <c r="M485" s="4">
        <v>38</v>
      </c>
      <c r="N485" s="4">
        <v>80</v>
      </c>
      <c r="O485" s="4">
        <v>33</v>
      </c>
      <c r="P485" s="4">
        <v>18.1303714320651</v>
      </c>
      <c r="Q485" s="4">
        <v>33.7883871340022</v>
      </c>
      <c r="R485" s="4">
        <v>24</v>
      </c>
      <c r="S485" s="7" t="s">
        <v>34</v>
      </c>
      <c r="T485" s="4">
        <v>196528</v>
      </c>
      <c r="U485" s="4">
        <v>780347</v>
      </c>
      <c r="V485" s="4">
        <v>2500</v>
      </c>
      <c r="W485" s="4">
        <v>121100</v>
      </c>
      <c r="X485" s="4">
        <v>201197</v>
      </c>
      <c r="Y485" s="4">
        <v>566800</v>
      </c>
      <c r="Z485" s="4">
        <v>120000</v>
      </c>
      <c r="AA485" s="4">
        <v>13450</v>
      </c>
      <c r="AB485" s="4">
        <v>86259</v>
      </c>
      <c r="AC485" s="4">
        <v>352082</v>
      </c>
      <c r="AD485" s="4">
        <v>1859</v>
      </c>
      <c r="AE485" s="4">
        <v>26584</v>
      </c>
      <c r="AF485" s="4">
        <v>466784</v>
      </c>
      <c r="AG485" s="6">
        <v>14735</v>
      </c>
      <c r="AH485" s="6">
        <v>14561</v>
      </c>
      <c r="AI485" s="6">
        <v>174</v>
      </c>
      <c r="AL485" s="4">
        <v>1503</v>
      </c>
      <c r="AM485" s="4">
        <v>20995</v>
      </c>
      <c r="AN485" s="4">
        <v>2805</v>
      </c>
      <c r="AO485" s="6">
        <v>282491</v>
      </c>
      <c r="AP485" s="6">
        <v>275956</v>
      </c>
      <c r="AQ485" s="6">
        <v>6535</v>
      </c>
      <c r="AS485" s="6">
        <v>27.1</v>
      </c>
      <c r="AT485" s="6">
        <v>0.9</v>
      </c>
      <c r="AV485" s="4">
        <v>519</v>
      </c>
      <c r="AW485" s="4">
        <v>615</v>
      </c>
    </row>
    <row r="486" spans="1:49" x14ac:dyDescent="0.2">
      <c r="A486" s="1">
        <v>44241</v>
      </c>
      <c r="B486">
        <v>26.15</v>
      </c>
      <c r="C486" s="1" t="s">
        <v>59</v>
      </c>
      <c r="D486" s="1" t="s">
        <v>62</v>
      </c>
      <c r="E486" s="1" t="s">
        <v>66</v>
      </c>
      <c r="F486" s="1" t="s">
        <v>49</v>
      </c>
      <c r="G486">
        <v>876</v>
      </c>
      <c r="H486" s="4">
        <v>4.0000000000006301E-2</v>
      </c>
      <c r="I486" s="4">
        <v>113</v>
      </c>
      <c r="J486" s="4">
        <v>65</v>
      </c>
      <c r="K486" s="4">
        <v>40.69</v>
      </c>
      <c r="L486" s="4">
        <v>78</v>
      </c>
      <c r="M486" s="4">
        <v>32</v>
      </c>
      <c r="N486" s="4">
        <v>76</v>
      </c>
      <c r="O486" s="4">
        <v>33</v>
      </c>
      <c r="P486" s="4">
        <v>16.559753202957701</v>
      </c>
      <c r="Q486" s="4">
        <v>36.973733648447102</v>
      </c>
      <c r="R486" s="4">
        <v>22</v>
      </c>
      <c r="S486" s="7" t="s">
        <v>34</v>
      </c>
      <c r="T486" s="4">
        <v>218331</v>
      </c>
      <c r="U486" s="4">
        <v>773541</v>
      </c>
      <c r="V486" s="4">
        <v>439</v>
      </c>
      <c r="W486" s="4">
        <v>121100</v>
      </c>
      <c r="X486" s="4">
        <v>200783</v>
      </c>
      <c r="Y486" s="4">
        <v>558300</v>
      </c>
      <c r="Z486" s="4">
        <v>120000</v>
      </c>
      <c r="AA486" s="4">
        <v>15558</v>
      </c>
      <c r="AB486" s="4">
        <v>53305</v>
      </c>
      <c r="AC486" s="4">
        <v>319530</v>
      </c>
      <c r="AD486" s="4">
        <v>439</v>
      </c>
      <c r="AE486" s="4">
        <v>28302</v>
      </c>
      <c r="AF486" s="4">
        <v>401576</v>
      </c>
      <c r="AG486" s="6">
        <v>8994</v>
      </c>
      <c r="AH486" s="6">
        <v>8945</v>
      </c>
      <c r="AI486" s="6">
        <v>49</v>
      </c>
      <c r="AL486" s="4">
        <v>1538</v>
      </c>
      <c r="AM486" s="4">
        <v>21055</v>
      </c>
      <c r="AN486" s="4">
        <v>2851</v>
      </c>
      <c r="AO486" s="6">
        <v>239877</v>
      </c>
      <c r="AP486" s="6">
        <v>237962</v>
      </c>
      <c r="AQ486" s="6">
        <v>1915</v>
      </c>
      <c r="AS486" s="6">
        <v>26.6</v>
      </c>
      <c r="AT486" s="6">
        <v>0.9</v>
      </c>
      <c r="AV486" s="4">
        <v>497</v>
      </c>
      <c r="AW486" s="4">
        <v>605</v>
      </c>
    </row>
    <row r="487" spans="1:49" x14ac:dyDescent="0.2">
      <c r="A487" s="1">
        <v>44240</v>
      </c>
      <c r="B487">
        <f>B486</f>
        <v>26.15</v>
      </c>
      <c r="C487" s="1" t="s">
        <v>59</v>
      </c>
      <c r="D487" s="1" t="s">
        <v>62</v>
      </c>
      <c r="E487" s="1" t="s">
        <v>66</v>
      </c>
      <c r="F487" s="1" t="s">
        <v>49</v>
      </c>
      <c r="G487">
        <v>885</v>
      </c>
      <c r="H487" s="4">
        <v>0.109999999999999</v>
      </c>
      <c r="I487" s="4">
        <v>115</v>
      </c>
      <c r="J487" s="4">
        <v>64</v>
      </c>
      <c r="K487" s="4">
        <v>50.41</v>
      </c>
      <c r="L487" s="4">
        <v>68</v>
      </c>
      <c r="M487" s="4">
        <v>31</v>
      </c>
      <c r="N487" s="4">
        <v>83</v>
      </c>
      <c r="O487" s="4">
        <v>33</v>
      </c>
      <c r="P487" s="4">
        <v>15.2704362420865</v>
      </c>
      <c r="Q487" s="4">
        <v>35.373325608656103</v>
      </c>
      <c r="R487" s="4">
        <v>22</v>
      </c>
      <c r="S487" s="7" t="s">
        <v>34</v>
      </c>
      <c r="T487" s="4">
        <v>300998</v>
      </c>
      <c r="U487" s="4">
        <v>782483</v>
      </c>
      <c r="V487" s="4">
        <v>3015</v>
      </c>
      <c r="W487" s="4">
        <v>121100</v>
      </c>
      <c r="X487" s="4">
        <v>200127</v>
      </c>
      <c r="Y487" s="4">
        <v>566700</v>
      </c>
      <c r="Z487" s="4">
        <v>120000</v>
      </c>
      <c r="AA487" s="4">
        <v>16756</v>
      </c>
      <c r="AB487" s="4">
        <v>60230</v>
      </c>
      <c r="AC487" s="4">
        <v>308093</v>
      </c>
      <c r="AD487" s="4">
        <v>2614</v>
      </c>
      <c r="AE487" s="4">
        <v>35754</v>
      </c>
      <c r="AF487" s="4">
        <v>406691</v>
      </c>
      <c r="AG487" s="6">
        <v>9034</v>
      </c>
      <c r="AH487" s="6">
        <v>8977</v>
      </c>
      <c r="AI487" s="6">
        <v>57</v>
      </c>
      <c r="AL487" s="4">
        <v>1428</v>
      </c>
      <c r="AM487" s="4">
        <v>20971</v>
      </c>
      <c r="AN487" s="4">
        <v>2842</v>
      </c>
      <c r="AO487" s="6">
        <v>508208</v>
      </c>
      <c r="AP487" s="6">
        <v>505362</v>
      </c>
      <c r="AQ487" s="6">
        <v>2846</v>
      </c>
      <c r="AS487" s="6">
        <v>26.2</v>
      </c>
      <c r="AT487" s="6">
        <v>0.9</v>
      </c>
      <c r="AV487" s="4">
        <v>491</v>
      </c>
      <c r="AW487" s="4">
        <v>586</v>
      </c>
    </row>
    <row r="488" spans="1:49" x14ac:dyDescent="0.2">
      <c r="A488" s="1">
        <v>44239</v>
      </c>
      <c r="B488">
        <f t="shared" ref="B488:B492" si="68">B487</f>
        <v>26.15</v>
      </c>
      <c r="C488" s="1" t="s">
        <v>59</v>
      </c>
      <c r="D488" s="1" t="s">
        <v>62</v>
      </c>
      <c r="E488" s="1" t="s">
        <v>66</v>
      </c>
      <c r="F488" s="1" t="s">
        <v>49</v>
      </c>
      <c r="G488">
        <v>877</v>
      </c>
      <c r="H488" s="4">
        <v>6.0000000000002301E-2</v>
      </c>
      <c r="I488" s="4">
        <v>126</v>
      </c>
      <c r="J488" s="4">
        <v>41</v>
      </c>
      <c r="K488" s="4">
        <v>44.48</v>
      </c>
      <c r="L488" s="4">
        <v>71</v>
      </c>
      <c r="M488" s="4">
        <v>32</v>
      </c>
      <c r="N488" s="4">
        <v>82</v>
      </c>
      <c r="O488" s="4">
        <v>32</v>
      </c>
      <c r="P488" s="4">
        <v>17.3523263695784</v>
      </c>
      <c r="Q488" s="4">
        <v>34.495875022547303</v>
      </c>
      <c r="R488" s="4">
        <v>21</v>
      </c>
      <c r="S488" s="7" t="s">
        <v>34</v>
      </c>
      <c r="T488" s="4">
        <v>340263</v>
      </c>
      <c r="U488" s="4">
        <v>787931</v>
      </c>
      <c r="V488" s="4">
        <v>4762</v>
      </c>
      <c r="W488" s="4">
        <v>121100</v>
      </c>
      <c r="X488" s="4">
        <v>200627</v>
      </c>
      <c r="Y488" s="4">
        <v>570667</v>
      </c>
      <c r="Z488" s="4">
        <v>120000</v>
      </c>
      <c r="AA488" s="4">
        <v>17737</v>
      </c>
      <c r="AB488" s="4">
        <v>78347</v>
      </c>
      <c r="AC488" s="4">
        <v>510719</v>
      </c>
      <c r="AD488" s="4">
        <v>3637</v>
      </c>
      <c r="AE488" s="4">
        <v>34033</v>
      </c>
      <c r="AF488" s="4">
        <v>626736</v>
      </c>
      <c r="AG488" s="6">
        <v>12573</v>
      </c>
      <c r="AH488" s="6">
        <v>12459</v>
      </c>
      <c r="AI488" s="6">
        <v>114</v>
      </c>
      <c r="AL488" s="4">
        <v>1511</v>
      </c>
      <c r="AM488" s="4">
        <v>22325</v>
      </c>
      <c r="AN488" s="4">
        <v>2943</v>
      </c>
      <c r="AO488" s="6">
        <v>549378</v>
      </c>
      <c r="AP488" s="6">
        <v>544603</v>
      </c>
      <c r="AQ488" s="6">
        <v>4775</v>
      </c>
      <c r="AS488" s="6">
        <v>25.3</v>
      </c>
      <c r="AT488" s="6">
        <v>0.9</v>
      </c>
      <c r="AV488" s="4">
        <v>534</v>
      </c>
      <c r="AW488" s="4">
        <v>635</v>
      </c>
    </row>
    <row r="489" spans="1:49" x14ac:dyDescent="0.2">
      <c r="A489" s="1">
        <v>44238</v>
      </c>
      <c r="B489">
        <f t="shared" si="68"/>
        <v>26.15</v>
      </c>
      <c r="C489" s="1" t="s">
        <v>59</v>
      </c>
      <c r="D489" s="1" t="s">
        <v>62</v>
      </c>
      <c r="E489" s="1" t="s">
        <v>66</v>
      </c>
      <c r="F489" s="1" t="s">
        <v>49</v>
      </c>
      <c r="G489">
        <v>863</v>
      </c>
      <c r="H489" s="4">
        <v>9.0000000000003397E-2</v>
      </c>
      <c r="I489" s="4">
        <v>126</v>
      </c>
      <c r="J489" s="4">
        <v>39</v>
      </c>
      <c r="K489" s="4">
        <v>40.46</v>
      </c>
      <c r="L489" s="4">
        <v>76</v>
      </c>
      <c r="M489" s="4">
        <v>32</v>
      </c>
      <c r="N489" s="4">
        <v>79</v>
      </c>
      <c r="O489" s="4">
        <v>30</v>
      </c>
      <c r="P489" s="4">
        <v>17.014368352078598</v>
      </c>
      <c r="Q489" s="4">
        <v>33.403401506175904</v>
      </c>
      <c r="R489" s="4">
        <v>21</v>
      </c>
      <c r="S489" s="7" t="s">
        <v>34</v>
      </c>
      <c r="T489" s="4">
        <v>350513</v>
      </c>
      <c r="U489" s="4">
        <v>783533</v>
      </c>
      <c r="V489" s="4">
        <v>2861</v>
      </c>
      <c r="W489" s="4">
        <v>121100</v>
      </c>
      <c r="X489" s="4">
        <v>200417</v>
      </c>
      <c r="Y489" s="4">
        <v>570500</v>
      </c>
      <c r="Z489" s="4">
        <v>120000</v>
      </c>
      <c r="AA489" s="4">
        <v>13716</v>
      </c>
      <c r="AB489" s="4">
        <v>80391</v>
      </c>
      <c r="AC489" s="4">
        <v>617341</v>
      </c>
      <c r="AD489" s="4">
        <v>2432</v>
      </c>
      <c r="AE489" s="4">
        <v>31218</v>
      </c>
      <c r="AF489" s="4">
        <v>731382</v>
      </c>
      <c r="AG489" s="6">
        <v>13139</v>
      </c>
      <c r="AH489" s="6">
        <v>13052</v>
      </c>
      <c r="AI489" s="6">
        <v>87</v>
      </c>
      <c r="AL489" s="4">
        <v>1680</v>
      </c>
      <c r="AM489" s="4">
        <v>23412</v>
      </c>
      <c r="AN489" s="4">
        <v>3036</v>
      </c>
      <c r="AO489" s="6">
        <v>508763</v>
      </c>
      <c r="AP489" s="6">
        <v>503116</v>
      </c>
      <c r="AQ489" s="6">
        <v>5647</v>
      </c>
      <c r="AS489" s="6">
        <v>24.4</v>
      </c>
      <c r="AT489" s="6">
        <v>0.9</v>
      </c>
      <c r="AV489" s="4">
        <v>576</v>
      </c>
      <c r="AW489" s="4">
        <v>676</v>
      </c>
    </row>
    <row r="490" spans="1:49" x14ac:dyDescent="0.2">
      <c r="A490" s="1">
        <v>44237</v>
      </c>
      <c r="B490">
        <f t="shared" si="68"/>
        <v>26.15</v>
      </c>
      <c r="C490" s="1" t="s">
        <v>59</v>
      </c>
      <c r="D490" s="1" t="s">
        <v>62</v>
      </c>
      <c r="E490" s="1" t="s">
        <v>66</v>
      </c>
      <c r="F490" s="1" t="s">
        <v>49</v>
      </c>
      <c r="G490">
        <v>859</v>
      </c>
      <c r="H490" s="4">
        <v>6.0000000000002301E-2</v>
      </c>
      <c r="I490" s="4">
        <v>126</v>
      </c>
      <c r="J490" s="4">
        <v>39</v>
      </c>
      <c r="K490" s="4">
        <v>41.01</v>
      </c>
      <c r="L490" s="4">
        <v>81</v>
      </c>
      <c r="M490" s="4">
        <v>33</v>
      </c>
      <c r="N490" s="4">
        <v>79</v>
      </c>
      <c r="O490" s="4">
        <v>30</v>
      </c>
      <c r="P490" s="4">
        <v>17.187793789095998</v>
      </c>
      <c r="Q490" s="4">
        <v>33.500596891819299</v>
      </c>
      <c r="R490" s="4">
        <v>22</v>
      </c>
      <c r="S490" s="7" t="s">
        <v>34</v>
      </c>
      <c r="T490" s="4">
        <v>365462</v>
      </c>
      <c r="U490" s="4">
        <v>779430</v>
      </c>
      <c r="V490" s="4">
        <v>3349</v>
      </c>
      <c r="W490" s="4">
        <v>121100</v>
      </c>
      <c r="X490" s="4">
        <v>200511</v>
      </c>
      <c r="Y490" s="4">
        <v>569200</v>
      </c>
      <c r="Z490" s="4">
        <v>120000</v>
      </c>
      <c r="AA490" s="4">
        <v>10819</v>
      </c>
      <c r="AB490" s="4">
        <v>94198</v>
      </c>
      <c r="AC490" s="4">
        <v>632701</v>
      </c>
      <c r="AD490" s="4">
        <v>2776</v>
      </c>
      <c r="AE490" s="4">
        <v>32288</v>
      </c>
      <c r="AF490" s="4">
        <v>761963</v>
      </c>
      <c r="AG490" s="6">
        <v>13899</v>
      </c>
      <c r="AH490" s="6">
        <v>13780</v>
      </c>
      <c r="AI490" s="6">
        <v>119</v>
      </c>
      <c r="AL490" s="4">
        <v>1726</v>
      </c>
      <c r="AM490" s="4">
        <v>24418</v>
      </c>
      <c r="AN490" s="4">
        <v>3132</v>
      </c>
      <c r="AO490" s="6">
        <v>455704</v>
      </c>
      <c r="AP490" s="6">
        <v>450810</v>
      </c>
      <c r="AQ490" s="6">
        <v>4894</v>
      </c>
      <c r="AS490" s="6">
        <v>23.5</v>
      </c>
      <c r="AT490" s="6">
        <v>0.9</v>
      </c>
      <c r="AV490" s="4">
        <v>610</v>
      </c>
      <c r="AW490" s="4">
        <v>712</v>
      </c>
    </row>
    <row r="491" spans="1:49" x14ac:dyDescent="0.2">
      <c r="A491" s="1">
        <v>44236</v>
      </c>
      <c r="B491">
        <f t="shared" si="68"/>
        <v>26.15</v>
      </c>
      <c r="C491" s="1" t="s">
        <v>59</v>
      </c>
      <c r="D491" s="1" t="s">
        <v>62</v>
      </c>
      <c r="E491" s="1" t="s">
        <v>66</v>
      </c>
      <c r="F491" s="1" t="s">
        <v>49</v>
      </c>
      <c r="G491">
        <v>855</v>
      </c>
      <c r="H491" s="4">
        <v>1.9999999999996E-2</v>
      </c>
      <c r="I491" s="4">
        <v>126</v>
      </c>
      <c r="J491" s="4">
        <v>37</v>
      </c>
      <c r="K491" s="4">
        <v>37.43</v>
      </c>
      <c r="L491" s="4">
        <v>73</v>
      </c>
      <c r="M491" s="4">
        <v>30</v>
      </c>
      <c r="N491" s="4">
        <v>72</v>
      </c>
      <c r="O491" s="4">
        <v>29</v>
      </c>
      <c r="P491" s="4">
        <v>16.666424254448799</v>
      </c>
      <c r="Q491" s="4">
        <v>31.7255295949893</v>
      </c>
      <c r="R491" s="4">
        <v>22</v>
      </c>
      <c r="S491" s="7" t="s">
        <v>34</v>
      </c>
      <c r="T491" s="4">
        <v>308100</v>
      </c>
      <c r="U491" s="4">
        <v>785655</v>
      </c>
      <c r="V491" s="4">
        <v>2545</v>
      </c>
      <c r="W491" s="4">
        <v>121100</v>
      </c>
      <c r="X491" s="4">
        <v>199605</v>
      </c>
      <c r="Y491" s="4">
        <v>569166</v>
      </c>
      <c r="Z491" s="4">
        <v>120000</v>
      </c>
      <c r="AA491" s="4">
        <v>17984</v>
      </c>
      <c r="AB491" s="4">
        <v>101844</v>
      </c>
      <c r="AC491" s="4">
        <v>448603</v>
      </c>
      <c r="AD491" s="4">
        <v>2545</v>
      </c>
      <c r="AE491" s="4">
        <v>31329</v>
      </c>
      <c r="AF491" s="4">
        <v>584321</v>
      </c>
      <c r="AG491" s="6">
        <v>14225</v>
      </c>
      <c r="AH491" s="6">
        <v>14096</v>
      </c>
      <c r="AI491" s="6">
        <v>129</v>
      </c>
      <c r="AL491" s="4">
        <v>1754</v>
      </c>
      <c r="AM491" s="4">
        <v>25690</v>
      </c>
      <c r="AN491" s="4">
        <v>3164</v>
      </c>
      <c r="AO491" s="6">
        <v>414973</v>
      </c>
      <c r="AP491" s="6">
        <v>411812</v>
      </c>
      <c r="AQ491" s="6">
        <v>3161</v>
      </c>
      <c r="AS491" s="6">
        <v>22.7</v>
      </c>
      <c r="AT491" s="6">
        <v>0.9</v>
      </c>
      <c r="AV491" s="4">
        <v>612</v>
      </c>
      <c r="AW491" s="4">
        <v>723</v>
      </c>
    </row>
    <row r="492" spans="1:49" x14ac:dyDescent="0.2">
      <c r="A492" s="1">
        <v>44235</v>
      </c>
      <c r="B492">
        <f t="shared" si="68"/>
        <v>26.15</v>
      </c>
      <c r="C492" s="1" t="s">
        <v>59</v>
      </c>
      <c r="D492" s="1" t="s">
        <v>62</v>
      </c>
      <c r="E492" s="1" t="s">
        <v>66</v>
      </c>
      <c r="F492" s="1" t="s">
        <v>49</v>
      </c>
      <c r="G492">
        <v>851</v>
      </c>
      <c r="H492" s="4">
        <v>1.9999999999996E-2</v>
      </c>
      <c r="I492" s="4">
        <v>125</v>
      </c>
      <c r="J492" s="4">
        <v>37</v>
      </c>
      <c r="K492" s="4">
        <v>36.159999999999997</v>
      </c>
      <c r="L492" s="4">
        <v>82</v>
      </c>
      <c r="M492" s="4">
        <v>31</v>
      </c>
      <c r="N492" s="4">
        <v>71</v>
      </c>
      <c r="O492" s="4">
        <v>30</v>
      </c>
      <c r="P492" s="4">
        <v>17.332906918613801</v>
      </c>
      <c r="Q492" s="4">
        <v>32.348728583541799</v>
      </c>
      <c r="R492" s="4">
        <v>24</v>
      </c>
      <c r="S492" s="7" t="s">
        <v>34</v>
      </c>
      <c r="T492" s="4">
        <v>185012</v>
      </c>
      <c r="U492" s="4">
        <v>766876</v>
      </c>
      <c r="V492" s="4">
        <v>4416</v>
      </c>
      <c r="W492" s="4">
        <v>121100</v>
      </c>
      <c r="X492" s="4">
        <v>199009</v>
      </c>
      <c r="Y492" s="4">
        <v>567867</v>
      </c>
      <c r="Z492" s="4">
        <v>120000</v>
      </c>
      <c r="AA492" s="4">
        <v>1100</v>
      </c>
      <c r="AB492" s="4">
        <v>78199</v>
      </c>
      <c r="AC492" s="4">
        <v>534364</v>
      </c>
      <c r="AD492" s="4">
        <v>2202</v>
      </c>
      <c r="AE492" s="4">
        <v>13866</v>
      </c>
      <c r="AF492" s="4">
        <v>628631</v>
      </c>
      <c r="AG492" s="6">
        <v>16194</v>
      </c>
      <c r="AH492" s="6">
        <v>16079</v>
      </c>
      <c r="AI492" s="6">
        <v>115</v>
      </c>
      <c r="AL492" s="4">
        <v>1921</v>
      </c>
      <c r="AM492" s="4">
        <v>26745</v>
      </c>
      <c r="AN492" s="4">
        <v>3230</v>
      </c>
      <c r="AO492" s="6">
        <v>356291</v>
      </c>
      <c r="AP492" s="6">
        <v>352480</v>
      </c>
      <c r="AQ492" s="6">
        <v>3811</v>
      </c>
      <c r="AS492" s="6">
        <v>22</v>
      </c>
      <c r="AT492" s="6">
        <v>0.9</v>
      </c>
      <c r="AV492" s="4">
        <v>680</v>
      </c>
      <c r="AW492" s="4">
        <v>778</v>
      </c>
    </row>
    <row r="493" spans="1:49" x14ac:dyDescent="0.2">
      <c r="A493" s="1">
        <v>44234</v>
      </c>
      <c r="B493">
        <v>37.61</v>
      </c>
      <c r="C493" s="1" t="s">
        <v>59</v>
      </c>
      <c r="D493" s="1" t="s">
        <v>62</v>
      </c>
      <c r="E493" s="1" t="s">
        <v>66</v>
      </c>
      <c r="F493" s="1" t="s">
        <v>49</v>
      </c>
      <c r="G493">
        <v>841</v>
      </c>
      <c r="H493" s="4">
        <v>3.0000000000001099E-2</v>
      </c>
      <c r="I493" s="4">
        <v>114</v>
      </c>
      <c r="J493" s="4">
        <v>60</v>
      </c>
      <c r="K493" s="4">
        <v>29.99</v>
      </c>
      <c r="L493" s="4">
        <v>52</v>
      </c>
      <c r="M493" s="4">
        <v>25</v>
      </c>
      <c r="N493" s="4">
        <v>65</v>
      </c>
      <c r="O493" s="4">
        <v>28</v>
      </c>
      <c r="P493" s="4">
        <v>14.335624824718</v>
      </c>
      <c r="Q493" s="4">
        <v>33.703435070465197</v>
      </c>
      <c r="R493" s="4">
        <v>21</v>
      </c>
      <c r="S493" s="7" t="s">
        <v>34</v>
      </c>
      <c r="T493" s="4">
        <v>248199</v>
      </c>
      <c r="U493" s="4">
        <v>739738</v>
      </c>
      <c r="V493" s="4">
        <v>2340</v>
      </c>
      <c r="W493" s="4">
        <v>121100</v>
      </c>
      <c r="X493" s="4">
        <v>198438</v>
      </c>
      <c r="Y493" s="4">
        <v>541300</v>
      </c>
      <c r="Z493" s="4">
        <v>120000</v>
      </c>
      <c r="AA493" s="4">
        <v>1100</v>
      </c>
      <c r="AB493" s="4">
        <v>58847</v>
      </c>
      <c r="AC493" s="4">
        <v>506896</v>
      </c>
      <c r="AD493" s="4">
        <v>537</v>
      </c>
      <c r="AE493" s="4">
        <v>17060</v>
      </c>
      <c r="AF493" s="4">
        <v>583340</v>
      </c>
      <c r="AG493" s="6">
        <v>11664</v>
      </c>
      <c r="AH493" s="6">
        <v>11619</v>
      </c>
      <c r="AI493" s="6">
        <v>45</v>
      </c>
      <c r="AL493" s="4">
        <v>1852</v>
      </c>
      <c r="AM493" s="4">
        <v>26801</v>
      </c>
      <c r="AN493" s="4">
        <v>3302</v>
      </c>
      <c r="AO493" s="6">
        <v>279850</v>
      </c>
      <c r="AP493" s="6">
        <v>278988</v>
      </c>
      <c r="AQ493" s="6">
        <v>862</v>
      </c>
      <c r="AS493" s="6">
        <v>21.4</v>
      </c>
      <c r="AT493" s="6">
        <v>0.9</v>
      </c>
      <c r="AV493" s="4">
        <v>638</v>
      </c>
      <c r="AW493" s="4">
        <v>752</v>
      </c>
    </row>
    <row r="494" spans="1:49" x14ac:dyDescent="0.2">
      <c r="A494" s="1">
        <v>44233</v>
      </c>
      <c r="B494">
        <f>B493</f>
        <v>37.61</v>
      </c>
      <c r="C494" s="1" t="s">
        <v>59</v>
      </c>
      <c r="D494" s="1" t="s">
        <v>62</v>
      </c>
      <c r="E494" s="1" t="s">
        <v>66</v>
      </c>
      <c r="F494" s="1" t="s">
        <v>49</v>
      </c>
      <c r="G494">
        <v>833</v>
      </c>
      <c r="H494" s="4">
        <v>0.109999999999999</v>
      </c>
      <c r="I494" s="4">
        <v>115</v>
      </c>
      <c r="J494" s="4">
        <v>64</v>
      </c>
      <c r="K494" s="4">
        <v>50.46</v>
      </c>
      <c r="L494" s="4">
        <v>72</v>
      </c>
      <c r="M494" s="4">
        <v>30</v>
      </c>
      <c r="N494" s="4">
        <v>78</v>
      </c>
      <c r="O494" s="4">
        <v>32</v>
      </c>
      <c r="P494" s="4">
        <v>14.605159435057701</v>
      </c>
      <c r="Q494" s="4">
        <v>35.587785262445799</v>
      </c>
      <c r="R494" s="4">
        <v>21</v>
      </c>
      <c r="S494" s="7" t="s">
        <v>34</v>
      </c>
      <c r="T494" s="4">
        <v>343037</v>
      </c>
      <c r="U494" s="4">
        <v>740345</v>
      </c>
      <c r="V494" s="4">
        <v>2437</v>
      </c>
      <c r="W494" s="4">
        <v>121100</v>
      </c>
      <c r="X494" s="4">
        <v>198845</v>
      </c>
      <c r="Y494" s="4">
        <v>541500</v>
      </c>
      <c r="Z494" s="4">
        <v>120000</v>
      </c>
      <c r="AA494" s="4">
        <v>1100</v>
      </c>
      <c r="AB494" s="4">
        <v>70113</v>
      </c>
      <c r="AC494" s="4">
        <v>367292</v>
      </c>
      <c r="AD494" s="4">
        <v>904</v>
      </c>
      <c r="AE494" s="4">
        <v>18838</v>
      </c>
      <c r="AF494" s="4">
        <v>457147</v>
      </c>
      <c r="AG494" s="6">
        <v>12320</v>
      </c>
      <c r="AH494" s="6">
        <v>12265</v>
      </c>
      <c r="AI494" s="6">
        <v>55</v>
      </c>
      <c r="AL494" s="4">
        <v>1893</v>
      </c>
      <c r="AM494" s="4">
        <v>26915</v>
      </c>
      <c r="AN494" s="4">
        <v>3373</v>
      </c>
      <c r="AO494" s="6">
        <v>551470</v>
      </c>
      <c r="AP494" s="6">
        <v>549808</v>
      </c>
      <c r="AQ494" s="6">
        <v>1662</v>
      </c>
      <c r="AS494" s="6">
        <v>20.9</v>
      </c>
      <c r="AT494" s="6">
        <v>0.9</v>
      </c>
      <c r="AV494" s="4">
        <v>702</v>
      </c>
      <c r="AW494" s="4">
        <v>787</v>
      </c>
    </row>
    <row r="495" spans="1:49" x14ac:dyDescent="0.2">
      <c r="A495" s="1">
        <v>44232</v>
      </c>
      <c r="B495">
        <f t="shared" ref="B495:B499" si="69">B494</f>
        <v>37.61</v>
      </c>
      <c r="C495" s="1" t="s">
        <v>59</v>
      </c>
      <c r="D495" s="1" t="s">
        <v>62</v>
      </c>
      <c r="E495" s="1" t="s">
        <v>66</v>
      </c>
      <c r="F495" s="1" t="s">
        <v>49</v>
      </c>
      <c r="G495">
        <v>845</v>
      </c>
      <c r="H495" s="4">
        <v>1.9999999999996E-2</v>
      </c>
      <c r="I495" s="4">
        <v>125</v>
      </c>
      <c r="J495" s="4">
        <v>41</v>
      </c>
      <c r="K495" s="4">
        <v>49.91</v>
      </c>
      <c r="L495" s="4">
        <v>102</v>
      </c>
      <c r="M495" s="4">
        <v>33</v>
      </c>
      <c r="N495" s="4">
        <v>84</v>
      </c>
      <c r="O495" s="4">
        <v>32</v>
      </c>
      <c r="P495" s="4">
        <v>17.275208649174399</v>
      </c>
      <c r="Q495" s="4">
        <v>35.492731528914398</v>
      </c>
      <c r="R495" s="4">
        <v>21</v>
      </c>
      <c r="S495" s="7" t="s">
        <v>34</v>
      </c>
      <c r="T495" s="4">
        <v>375692</v>
      </c>
      <c r="U495" s="4">
        <v>740302</v>
      </c>
      <c r="V495" s="4">
        <v>4848</v>
      </c>
      <c r="W495" s="4">
        <v>121100</v>
      </c>
      <c r="X495" s="4">
        <v>199502</v>
      </c>
      <c r="Y495" s="4">
        <v>540800</v>
      </c>
      <c r="Z495" s="4">
        <v>120000</v>
      </c>
      <c r="AA495" s="4">
        <v>1100</v>
      </c>
      <c r="AB495" s="4">
        <v>84800</v>
      </c>
      <c r="AC495" s="4">
        <v>570016</v>
      </c>
      <c r="AD495" s="4">
        <v>2803</v>
      </c>
      <c r="AE495" s="4">
        <v>20164</v>
      </c>
      <c r="AF495" s="4">
        <v>677783</v>
      </c>
      <c r="AG495" s="6">
        <v>16308</v>
      </c>
      <c r="AH495" s="6">
        <v>16201</v>
      </c>
      <c r="AI495" s="6">
        <v>107</v>
      </c>
      <c r="AL495" s="4">
        <v>2005</v>
      </c>
      <c r="AM495" s="4">
        <v>28384</v>
      </c>
      <c r="AN495" s="4">
        <v>3505</v>
      </c>
      <c r="AO495" s="6">
        <v>498227</v>
      </c>
      <c r="AP495" s="6">
        <v>494163</v>
      </c>
      <c r="AQ495" s="6">
        <v>4064</v>
      </c>
      <c r="AS495" s="6">
        <v>19.899999999999999</v>
      </c>
      <c r="AT495" s="6">
        <v>0.9</v>
      </c>
      <c r="AV495" s="4">
        <v>754</v>
      </c>
      <c r="AW495" s="4">
        <v>872</v>
      </c>
    </row>
    <row r="496" spans="1:49" x14ac:dyDescent="0.2">
      <c r="A496" s="1">
        <v>44231</v>
      </c>
      <c r="B496">
        <f t="shared" si="69"/>
        <v>37.61</v>
      </c>
      <c r="C496" s="1" t="s">
        <v>59</v>
      </c>
      <c r="D496" s="1" t="s">
        <v>62</v>
      </c>
      <c r="E496" s="1" t="s">
        <v>66</v>
      </c>
      <c r="F496" s="1" t="s">
        <v>49</v>
      </c>
      <c r="G496">
        <v>853</v>
      </c>
      <c r="H496" s="4">
        <v>1.9999999999996E-2</v>
      </c>
      <c r="I496" s="4">
        <v>126</v>
      </c>
      <c r="J496" s="4">
        <v>39</v>
      </c>
      <c r="K496" s="4">
        <v>40.74</v>
      </c>
      <c r="L496" s="4">
        <v>73</v>
      </c>
      <c r="M496" s="4">
        <v>31</v>
      </c>
      <c r="N496" s="4">
        <v>74</v>
      </c>
      <c r="O496" s="4">
        <v>29</v>
      </c>
      <c r="P496" s="4">
        <v>16.387465848700302</v>
      </c>
      <c r="Q496" s="4">
        <v>33.039881012697897</v>
      </c>
      <c r="R496" s="4">
        <v>20</v>
      </c>
      <c r="S496" s="7" t="s">
        <v>34</v>
      </c>
      <c r="T496" s="4">
        <v>384817</v>
      </c>
      <c r="U496" s="4">
        <v>740611</v>
      </c>
      <c r="V496" s="4">
        <v>7986</v>
      </c>
      <c r="W496" s="4">
        <v>121100</v>
      </c>
      <c r="X496" s="4">
        <v>199511</v>
      </c>
      <c r="Y496" s="4">
        <v>541100</v>
      </c>
      <c r="Z496" s="4">
        <v>120000</v>
      </c>
      <c r="AA496" s="4">
        <v>1100</v>
      </c>
      <c r="AB496" s="4">
        <v>90342</v>
      </c>
      <c r="AC496" s="4">
        <v>672639</v>
      </c>
      <c r="AD496" s="4">
        <v>3004</v>
      </c>
      <c r="AE496" s="4">
        <v>23110</v>
      </c>
      <c r="AF496" s="4">
        <v>789095</v>
      </c>
      <c r="AG496" s="6">
        <v>18492</v>
      </c>
      <c r="AH496" s="6">
        <v>18395</v>
      </c>
      <c r="AI496" s="6">
        <v>97</v>
      </c>
      <c r="AL496" s="4">
        <v>2142</v>
      </c>
      <c r="AM496" s="4">
        <v>29414</v>
      </c>
      <c r="AN496" s="4">
        <v>3572</v>
      </c>
      <c r="AO496" s="6">
        <v>484596</v>
      </c>
      <c r="AP496" s="6">
        <v>480560</v>
      </c>
      <c r="AQ496" s="6">
        <v>4036</v>
      </c>
      <c r="AS496" s="6">
        <v>19.100000000000001</v>
      </c>
      <c r="AT496" s="6">
        <v>0.9</v>
      </c>
      <c r="AV496" s="4">
        <v>720</v>
      </c>
      <c r="AW496" s="4">
        <v>826</v>
      </c>
    </row>
    <row r="497" spans="1:49" x14ac:dyDescent="0.2">
      <c r="A497" s="1">
        <v>44230</v>
      </c>
      <c r="B497">
        <f t="shared" si="69"/>
        <v>37.61</v>
      </c>
      <c r="C497" s="1" t="s">
        <v>59</v>
      </c>
      <c r="D497" s="1" t="s">
        <v>62</v>
      </c>
      <c r="E497" s="1" t="s">
        <v>66</v>
      </c>
      <c r="F497" s="1" t="s">
        <v>49</v>
      </c>
      <c r="G497">
        <v>863</v>
      </c>
      <c r="H497" s="4">
        <v>1.9999999999996E-2</v>
      </c>
      <c r="I497" s="4">
        <v>126</v>
      </c>
      <c r="J497" s="4">
        <v>39</v>
      </c>
      <c r="K497" s="4">
        <v>41.89</v>
      </c>
      <c r="L497" s="4">
        <v>77</v>
      </c>
      <c r="M497" s="4">
        <v>31</v>
      </c>
      <c r="N497" s="4">
        <v>74</v>
      </c>
      <c r="O497" s="4">
        <v>30</v>
      </c>
      <c r="P497" s="4">
        <v>16.501676388616001</v>
      </c>
      <c r="Q497" s="4">
        <v>32.783892382054198</v>
      </c>
      <c r="R497" s="4">
        <v>20</v>
      </c>
      <c r="S497" s="7" t="s">
        <v>34</v>
      </c>
      <c r="T497" s="4">
        <v>373437</v>
      </c>
      <c r="U497" s="4">
        <v>770305</v>
      </c>
      <c r="V497" s="4">
        <v>6886</v>
      </c>
      <c r="W497" s="4">
        <v>121100</v>
      </c>
      <c r="X497" s="4">
        <v>199605</v>
      </c>
      <c r="Y497" s="4">
        <v>570700</v>
      </c>
      <c r="Z497" s="4">
        <v>120000</v>
      </c>
      <c r="AA497" s="4">
        <v>1100</v>
      </c>
      <c r="AB497" s="4">
        <v>97033</v>
      </c>
      <c r="AC497" s="4">
        <v>678381</v>
      </c>
      <c r="AD497" s="4">
        <v>2996</v>
      </c>
      <c r="AE497" s="4">
        <v>26941</v>
      </c>
      <c r="AF497" s="4">
        <v>805351</v>
      </c>
      <c r="AG497" s="6">
        <v>19914</v>
      </c>
      <c r="AH497" s="6">
        <v>19787</v>
      </c>
      <c r="AI497" s="6">
        <v>127</v>
      </c>
      <c r="AL497" s="4">
        <v>2362</v>
      </c>
      <c r="AM497" s="4">
        <v>30605</v>
      </c>
      <c r="AN497" s="4">
        <v>3628</v>
      </c>
      <c r="AO497" s="6">
        <v>472011</v>
      </c>
      <c r="AP497" s="6">
        <v>469016</v>
      </c>
      <c r="AQ497" s="6">
        <v>2995</v>
      </c>
      <c r="AS497" s="6">
        <v>18.2</v>
      </c>
      <c r="AT497" s="6">
        <v>0.9</v>
      </c>
      <c r="AV497" s="4">
        <v>864</v>
      </c>
      <c r="AW497" s="4">
        <v>974</v>
      </c>
    </row>
    <row r="498" spans="1:49" x14ac:dyDescent="0.2">
      <c r="A498" s="1">
        <v>44229</v>
      </c>
      <c r="B498">
        <f t="shared" si="69"/>
        <v>37.61</v>
      </c>
      <c r="C498" s="1" t="s">
        <v>59</v>
      </c>
      <c r="D498" s="1" t="s">
        <v>62</v>
      </c>
      <c r="E498" s="1" t="s">
        <v>66</v>
      </c>
      <c r="F498" s="1" t="s">
        <v>49</v>
      </c>
      <c r="G498">
        <v>865</v>
      </c>
      <c r="H498" s="4">
        <v>4.0000000000006301E-2</v>
      </c>
      <c r="I498" s="4">
        <v>125</v>
      </c>
      <c r="J498" s="4">
        <v>38</v>
      </c>
      <c r="K498" s="4">
        <v>42.94</v>
      </c>
      <c r="L498" s="4">
        <v>90</v>
      </c>
      <c r="M498" s="4">
        <v>33</v>
      </c>
      <c r="N498" s="4">
        <v>76</v>
      </c>
      <c r="O498" s="4">
        <v>32</v>
      </c>
      <c r="P498" s="4">
        <v>16.7396949012257</v>
      </c>
      <c r="Q498" s="4">
        <v>33.646472448710703</v>
      </c>
      <c r="R498" s="4">
        <v>21</v>
      </c>
      <c r="S498" s="7" t="s">
        <v>34</v>
      </c>
      <c r="T498" s="4">
        <v>320694</v>
      </c>
      <c r="U498" s="4">
        <v>768851</v>
      </c>
      <c r="V498" s="4">
        <v>8938</v>
      </c>
      <c r="W498" s="4">
        <v>121100</v>
      </c>
      <c r="X498" s="4">
        <v>199251</v>
      </c>
      <c r="Y498" s="4">
        <v>569600</v>
      </c>
      <c r="Z498" s="4">
        <v>120000</v>
      </c>
      <c r="AA498" s="4">
        <v>1100</v>
      </c>
      <c r="AB498" s="4">
        <v>93055</v>
      </c>
      <c r="AC498" s="4">
        <v>501704</v>
      </c>
      <c r="AD498" s="4">
        <v>2579</v>
      </c>
      <c r="AE498" s="4">
        <v>20419</v>
      </c>
      <c r="AF498" s="4">
        <v>617757</v>
      </c>
      <c r="AG498" s="6">
        <v>20268</v>
      </c>
      <c r="AH498" s="6">
        <v>20153</v>
      </c>
      <c r="AI498" s="6">
        <v>115</v>
      </c>
      <c r="AL498" s="4">
        <v>2481</v>
      </c>
      <c r="AM498" s="4">
        <v>31767</v>
      </c>
      <c r="AN498" s="4">
        <v>3635</v>
      </c>
      <c r="AO498" s="6">
        <v>376922</v>
      </c>
      <c r="AP498" s="6">
        <v>374756</v>
      </c>
      <c r="AQ498" s="6">
        <v>2166</v>
      </c>
      <c r="AS498" s="6">
        <v>17.399999999999999</v>
      </c>
      <c r="AT498" s="6">
        <v>0.9</v>
      </c>
      <c r="AV498" s="4">
        <v>853</v>
      </c>
      <c r="AW498" s="4">
        <v>960</v>
      </c>
    </row>
    <row r="499" spans="1:49" x14ac:dyDescent="0.2">
      <c r="A499" s="1">
        <v>44228</v>
      </c>
      <c r="B499">
        <f t="shared" si="69"/>
        <v>37.61</v>
      </c>
      <c r="C499" s="1" t="s">
        <v>59</v>
      </c>
      <c r="D499" s="1" t="s">
        <v>62</v>
      </c>
      <c r="E499" s="1" t="s">
        <v>66</v>
      </c>
      <c r="F499" s="1" t="s">
        <v>49</v>
      </c>
      <c r="G499">
        <v>858</v>
      </c>
      <c r="H499" s="4">
        <v>1.00000000000051E-2</v>
      </c>
      <c r="I499" s="4">
        <v>124</v>
      </c>
      <c r="J499" s="4">
        <v>38</v>
      </c>
      <c r="K499" s="4">
        <v>41.27</v>
      </c>
      <c r="L499" s="4">
        <v>85</v>
      </c>
      <c r="M499" s="4">
        <v>34</v>
      </c>
      <c r="N499" s="4">
        <v>75</v>
      </c>
      <c r="O499" s="4">
        <v>32</v>
      </c>
      <c r="P499" s="4">
        <v>17.4203555567839</v>
      </c>
      <c r="Q499" s="4">
        <v>33.895550649081599</v>
      </c>
      <c r="R499" s="4">
        <v>22</v>
      </c>
      <c r="S499" s="7" t="s">
        <v>34</v>
      </c>
      <c r="T499" s="4">
        <v>197405</v>
      </c>
      <c r="U499" s="4">
        <v>778967</v>
      </c>
      <c r="V499" s="4">
        <v>12449</v>
      </c>
      <c r="W499" s="4">
        <v>121100</v>
      </c>
      <c r="X499" s="4">
        <v>198467</v>
      </c>
      <c r="Y499" s="4">
        <v>580500</v>
      </c>
      <c r="Z499" s="4">
        <v>120000</v>
      </c>
      <c r="AA499" s="4">
        <v>1100</v>
      </c>
      <c r="AB499" s="4">
        <v>80391</v>
      </c>
      <c r="AC499" s="4">
        <v>557384</v>
      </c>
      <c r="AD499" s="4">
        <v>1931</v>
      </c>
      <c r="AE499" s="4">
        <v>23278</v>
      </c>
      <c r="AF499" s="4">
        <v>662984</v>
      </c>
      <c r="AG499" s="6">
        <v>22971</v>
      </c>
      <c r="AH499" s="6">
        <v>22852</v>
      </c>
      <c r="AI499" s="6">
        <v>119</v>
      </c>
      <c r="AL499" s="4">
        <v>2605</v>
      </c>
      <c r="AM499" s="4">
        <v>32961</v>
      </c>
      <c r="AN499" s="4">
        <v>3726</v>
      </c>
      <c r="AO499" s="6">
        <v>352935</v>
      </c>
      <c r="AP499" s="6">
        <v>350348</v>
      </c>
      <c r="AQ499" s="6">
        <v>2587</v>
      </c>
      <c r="AS499" s="6">
        <v>16.8</v>
      </c>
      <c r="AT499" s="6">
        <v>0.9</v>
      </c>
      <c r="AV499" s="4">
        <v>897</v>
      </c>
      <c r="AW499" s="4">
        <v>1005</v>
      </c>
    </row>
    <row r="500" spans="1:49" x14ac:dyDescent="0.2">
      <c r="A500" s="1">
        <v>44227</v>
      </c>
      <c r="B500">
        <v>40.89</v>
      </c>
      <c r="C500" s="1" t="s">
        <v>59</v>
      </c>
      <c r="D500" s="1" t="s">
        <v>62</v>
      </c>
      <c r="E500" s="1" t="s">
        <v>66</v>
      </c>
      <c r="F500" s="1" t="s">
        <v>49</v>
      </c>
      <c r="G500">
        <v>861</v>
      </c>
      <c r="H500" s="4">
        <v>0</v>
      </c>
      <c r="I500" s="4">
        <v>113</v>
      </c>
      <c r="J500" s="4">
        <v>63</v>
      </c>
      <c r="K500" s="4">
        <v>38.67</v>
      </c>
      <c r="L500" s="4">
        <v>87</v>
      </c>
      <c r="M500" s="4">
        <v>30</v>
      </c>
      <c r="N500" s="4">
        <v>73</v>
      </c>
      <c r="O500" s="4">
        <v>32</v>
      </c>
      <c r="P500" s="4">
        <v>15.716703262126099</v>
      </c>
      <c r="Q500" s="4">
        <v>36.848581536097498</v>
      </c>
      <c r="R500" s="4">
        <v>22</v>
      </c>
      <c r="S500" s="7" t="s">
        <v>34</v>
      </c>
      <c r="T500" s="4">
        <v>243958</v>
      </c>
      <c r="U500" s="4">
        <v>796690</v>
      </c>
      <c r="V500" s="4">
        <v>8281</v>
      </c>
      <c r="W500" s="4">
        <v>121100</v>
      </c>
      <c r="X500" s="4">
        <v>197990</v>
      </c>
      <c r="Y500" s="4">
        <v>598700</v>
      </c>
      <c r="Z500" s="4">
        <v>120000</v>
      </c>
      <c r="AA500" s="4">
        <v>1100</v>
      </c>
      <c r="AB500" s="4">
        <v>60899</v>
      </c>
      <c r="AC500" s="4">
        <v>496085</v>
      </c>
      <c r="AD500" s="4">
        <v>672</v>
      </c>
      <c r="AE500" s="4">
        <v>25057</v>
      </c>
      <c r="AF500" s="4">
        <v>582713</v>
      </c>
      <c r="AG500" s="6">
        <v>15783</v>
      </c>
      <c r="AH500" s="6">
        <v>15726</v>
      </c>
      <c r="AI500" s="6">
        <v>57</v>
      </c>
      <c r="AL500" s="4">
        <v>2408</v>
      </c>
      <c r="AM500" s="4">
        <v>32587</v>
      </c>
      <c r="AN500" s="4">
        <v>3687</v>
      </c>
      <c r="AO500" s="6">
        <v>322194</v>
      </c>
      <c r="AP500" s="6">
        <v>319038</v>
      </c>
      <c r="AQ500" s="6">
        <v>3156</v>
      </c>
      <c r="AS500" s="6">
        <v>16.2</v>
      </c>
      <c r="AT500" s="6">
        <v>0.9</v>
      </c>
      <c r="AV500" s="4">
        <v>895</v>
      </c>
      <c r="AW500" s="4">
        <v>993</v>
      </c>
    </row>
    <row r="501" spans="1:49" x14ac:dyDescent="0.2">
      <c r="A501" s="1">
        <v>44226</v>
      </c>
      <c r="B501">
        <f>B500</f>
        <v>40.89</v>
      </c>
      <c r="C501" s="1" t="s">
        <v>59</v>
      </c>
      <c r="D501" s="1" t="s">
        <v>62</v>
      </c>
      <c r="E501" s="1" t="s">
        <v>66</v>
      </c>
      <c r="F501" s="1" t="s">
        <v>49</v>
      </c>
      <c r="G501">
        <v>859</v>
      </c>
      <c r="H501" s="4">
        <v>0.12000000000000501</v>
      </c>
      <c r="I501" s="4">
        <v>117</v>
      </c>
      <c r="J501" s="4">
        <v>61</v>
      </c>
      <c r="K501" s="4">
        <v>39.81</v>
      </c>
      <c r="L501" s="4">
        <v>41</v>
      </c>
      <c r="M501" s="4">
        <v>25</v>
      </c>
      <c r="N501" s="4">
        <v>71</v>
      </c>
      <c r="O501" s="4">
        <v>29</v>
      </c>
      <c r="P501" s="4">
        <v>13.2783861933927</v>
      </c>
      <c r="Q501" s="4">
        <v>32.587934732707502</v>
      </c>
      <c r="R501" s="4">
        <v>19</v>
      </c>
      <c r="S501" s="7" t="s">
        <v>34</v>
      </c>
      <c r="T501" s="4">
        <v>331232</v>
      </c>
      <c r="U501" s="4">
        <v>800097</v>
      </c>
      <c r="V501" s="4">
        <v>11602</v>
      </c>
      <c r="W501" s="4">
        <v>121100</v>
      </c>
      <c r="X501" s="4">
        <v>198397</v>
      </c>
      <c r="Y501" s="4">
        <v>601700</v>
      </c>
      <c r="Z501" s="4">
        <v>120000</v>
      </c>
      <c r="AA501" s="4">
        <v>1100</v>
      </c>
      <c r="AB501" s="4">
        <v>71604</v>
      </c>
      <c r="AC501" s="4">
        <v>347004</v>
      </c>
      <c r="AD501" s="4">
        <v>1880</v>
      </c>
      <c r="AE501" s="4">
        <v>28521</v>
      </c>
      <c r="AF501" s="4">
        <v>449009</v>
      </c>
      <c r="AG501" s="6">
        <v>17167</v>
      </c>
      <c r="AH501" s="6">
        <v>17098</v>
      </c>
      <c r="AI501" s="6">
        <v>69</v>
      </c>
      <c r="AL501" s="4">
        <v>2469</v>
      </c>
      <c r="AM501" s="4">
        <v>33017</v>
      </c>
      <c r="AN501" s="4">
        <v>3806</v>
      </c>
      <c r="AO501" s="6">
        <v>609010</v>
      </c>
      <c r="AP501" s="6">
        <v>598389</v>
      </c>
      <c r="AQ501" s="6">
        <v>10621</v>
      </c>
      <c r="AS501" s="6">
        <v>15.6</v>
      </c>
      <c r="AT501" s="6">
        <v>0.9</v>
      </c>
      <c r="AV501" s="4">
        <v>913</v>
      </c>
      <c r="AW501" s="4">
        <v>1025</v>
      </c>
    </row>
    <row r="502" spans="1:49" x14ac:dyDescent="0.2">
      <c r="A502" s="1">
        <v>44225</v>
      </c>
      <c r="B502">
        <f t="shared" ref="B502:B506" si="70">B501</f>
        <v>40.89</v>
      </c>
      <c r="C502" s="1" t="s">
        <v>59</v>
      </c>
      <c r="D502" s="1" t="s">
        <v>62</v>
      </c>
      <c r="E502" s="1" t="s">
        <v>66</v>
      </c>
      <c r="F502" s="1" t="s">
        <v>49</v>
      </c>
      <c r="G502">
        <v>861</v>
      </c>
      <c r="H502" s="4">
        <v>1.9999999999996E-2</v>
      </c>
      <c r="I502" s="4">
        <v>126</v>
      </c>
      <c r="J502" s="4">
        <v>40</v>
      </c>
      <c r="K502" s="4">
        <v>45.03</v>
      </c>
      <c r="L502" s="4">
        <v>78</v>
      </c>
      <c r="M502" s="4">
        <v>30</v>
      </c>
      <c r="N502" s="4">
        <v>79</v>
      </c>
      <c r="O502" s="4">
        <v>32</v>
      </c>
      <c r="P502" s="4">
        <v>16.3310441208199</v>
      </c>
      <c r="Q502" s="4">
        <v>33.454080501019497</v>
      </c>
      <c r="R502" s="4">
        <v>20</v>
      </c>
      <c r="S502" s="7" t="s">
        <v>34</v>
      </c>
      <c r="T502" s="4">
        <v>382227</v>
      </c>
      <c r="U502" s="4">
        <v>806463</v>
      </c>
      <c r="V502" s="4">
        <v>16432</v>
      </c>
      <c r="W502" s="4">
        <v>121100</v>
      </c>
      <c r="X502" s="4">
        <v>199063</v>
      </c>
      <c r="Y502" s="4">
        <v>607400</v>
      </c>
      <c r="Z502" s="4">
        <v>120000</v>
      </c>
      <c r="AA502" s="4">
        <v>1100</v>
      </c>
      <c r="AB502" s="4">
        <v>89320</v>
      </c>
      <c r="AC502" s="4">
        <v>553496</v>
      </c>
      <c r="AD502" s="4">
        <v>3887</v>
      </c>
      <c r="AE502" s="4">
        <v>30137</v>
      </c>
      <c r="AF502" s="4">
        <v>676840</v>
      </c>
      <c r="AG502" s="6">
        <v>22433</v>
      </c>
      <c r="AH502" s="6">
        <v>22329</v>
      </c>
      <c r="AI502" s="6">
        <v>104</v>
      </c>
      <c r="AL502" s="4">
        <v>2687</v>
      </c>
      <c r="AM502" s="4">
        <v>33849</v>
      </c>
      <c r="AN502" s="4">
        <v>3832</v>
      </c>
      <c r="AO502" s="6">
        <v>489934</v>
      </c>
      <c r="AP502" s="6">
        <v>487756</v>
      </c>
      <c r="AQ502" s="6">
        <v>2178</v>
      </c>
      <c r="AS502" s="6">
        <v>14.6</v>
      </c>
      <c r="AT502" s="6">
        <v>0.8</v>
      </c>
      <c r="AV502" s="4">
        <v>1069</v>
      </c>
      <c r="AW502" s="4">
        <v>1159</v>
      </c>
    </row>
    <row r="503" spans="1:49" x14ac:dyDescent="0.2">
      <c r="A503" s="1">
        <v>44224</v>
      </c>
      <c r="B503">
        <f t="shared" si="70"/>
        <v>40.89</v>
      </c>
      <c r="C503" s="1" t="s">
        <v>59</v>
      </c>
      <c r="D503" s="1" t="s">
        <v>62</v>
      </c>
      <c r="E503" s="1" t="s">
        <v>66</v>
      </c>
      <c r="F503" s="1" t="s">
        <v>49</v>
      </c>
      <c r="G503">
        <v>862</v>
      </c>
      <c r="H503" s="4">
        <v>4.0000000000006301E-2</v>
      </c>
      <c r="I503" s="4">
        <v>126</v>
      </c>
      <c r="J503" s="4">
        <v>38</v>
      </c>
      <c r="K503" s="4">
        <v>42</v>
      </c>
      <c r="L503" s="4">
        <v>86</v>
      </c>
      <c r="M503" s="4">
        <v>31</v>
      </c>
      <c r="N503" s="4">
        <v>76</v>
      </c>
      <c r="O503" s="4">
        <v>30</v>
      </c>
      <c r="P503" s="4">
        <v>16.030595399369101</v>
      </c>
      <c r="Q503" s="4">
        <v>32.468508288377699</v>
      </c>
      <c r="R503" s="4">
        <v>19</v>
      </c>
      <c r="S503" s="7" t="s">
        <v>34</v>
      </c>
      <c r="T503" s="4">
        <v>403469</v>
      </c>
      <c r="U503" s="4">
        <v>805634</v>
      </c>
      <c r="V503" s="4">
        <v>26428</v>
      </c>
      <c r="W503" s="4">
        <v>121100</v>
      </c>
      <c r="X503" s="4">
        <v>198884</v>
      </c>
      <c r="Y503" s="4">
        <v>606750</v>
      </c>
      <c r="Z503" s="4">
        <v>120000</v>
      </c>
      <c r="AA503" s="4">
        <v>1100</v>
      </c>
      <c r="AB503" s="4">
        <v>90262</v>
      </c>
      <c r="AC503" s="4">
        <v>642969</v>
      </c>
      <c r="AD503" s="4">
        <v>2974</v>
      </c>
      <c r="AE503" s="4">
        <v>41386</v>
      </c>
      <c r="AF503" s="4">
        <v>777591</v>
      </c>
      <c r="AG503" s="6">
        <v>24772</v>
      </c>
      <c r="AH503" s="6">
        <v>24659</v>
      </c>
      <c r="AI503" s="6">
        <v>113</v>
      </c>
      <c r="AL503" s="4">
        <v>3044</v>
      </c>
      <c r="AM503" s="4">
        <v>34911</v>
      </c>
      <c r="AN503" s="4">
        <v>3918</v>
      </c>
      <c r="AO503" s="6">
        <v>416188</v>
      </c>
      <c r="AP503" s="6">
        <v>414419</v>
      </c>
      <c r="AQ503" s="6">
        <v>1769</v>
      </c>
      <c r="AS503" s="6">
        <v>13.7</v>
      </c>
      <c r="AT503" s="6">
        <v>0.8</v>
      </c>
      <c r="AV503" s="4">
        <v>1112</v>
      </c>
      <c r="AW503" s="4">
        <v>1224</v>
      </c>
    </row>
    <row r="504" spans="1:49" x14ac:dyDescent="0.2">
      <c r="A504" s="1">
        <v>44223</v>
      </c>
      <c r="B504">
        <f t="shared" si="70"/>
        <v>40.89</v>
      </c>
      <c r="C504" s="1" t="s">
        <v>59</v>
      </c>
      <c r="D504" s="1" t="s">
        <v>62</v>
      </c>
      <c r="E504" s="1" t="s">
        <v>66</v>
      </c>
      <c r="F504" s="1" t="s">
        <v>49</v>
      </c>
      <c r="G504">
        <v>853</v>
      </c>
      <c r="H504" s="4">
        <v>1.00000000000051E-2</v>
      </c>
      <c r="I504" s="4">
        <v>126</v>
      </c>
      <c r="J504" s="4">
        <v>38</v>
      </c>
      <c r="K504" s="4">
        <v>40.39</v>
      </c>
      <c r="L504" s="4">
        <v>77</v>
      </c>
      <c r="M504" s="4">
        <v>30</v>
      </c>
      <c r="N504" s="4">
        <v>73</v>
      </c>
      <c r="O504" s="4">
        <v>29</v>
      </c>
      <c r="P504" s="4">
        <v>16.0029371204905</v>
      </c>
      <c r="Q504" s="4">
        <v>32.006906613012298</v>
      </c>
      <c r="R504" s="4">
        <v>19</v>
      </c>
      <c r="S504" s="7" t="s">
        <v>34</v>
      </c>
      <c r="T504" s="4">
        <v>413922</v>
      </c>
      <c r="U504" s="4">
        <v>812225</v>
      </c>
      <c r="V504" s="4">
        <v>46746</v>
      </c>
      <c r="W504" s="4">
        <v>121100</v>
      </c>
      <c r="X504" s="4">
        <v>196116</v>
      </c>
      <c r="Y504" s="4">
        <v>616109</v>
      </c>
      <c r="Z504" s="4">
        <v>120000</v>
      </c>
      <c r="AA504" s="4">
        <v>1100</v>
      </c>
      <c r="AB504" s="4">
        <v>101343</v>
      </c>
      <c r="AC504" s="4">
        <v>646588</v>
      </c>
      <c r="AD504" s="4">
        <v>2896</v>
      </c>
      <c r="AE504" s="4">
        <v>65511</v>
      </c>
      <c r="AF504" s="4">
        <v>816338</v>
      </c>
      <c r="AG504" s="6">
        <v>26303</v>
      </c>
      <c r="AH504" s="6">
        <v>26189</v>
      </c>
      <c r="AI504" s="6">
        <v>114</v>
      </c>
      <c r="AL504" s="4">
        <v>3059</v>
      </c>
      <c r="AM504" s="4">
        <v>35515</v>
      </c>
      <c r="AN504" s="4">
        <v>3937</v>
      </c>
      <c r="AO504" s="6">
        <v>314707</v>
      </c>
      <c r="AP504" s="6">
        <v>312378</v>
      </c>
      <c r="AQ504" s="6">
        <v>2329</v>
      </c>
      <c r="AS504" s="6">
        <v>13</v>
      </c>
      <c r="AT504" s="6">
        <v>0.8</v>
      </c>
      <c r="AV504" s="4">
        <v>1115</v>
      </c>
      <c r="AW504" s="4">
        <v>1232</v>
      </c>
    </row>
    <row r="505" spans="1:49" x14ac:dyDescent="0.2">
      <c r="A505" s="1">
        <v>44222</v>
      </c>
      <c r="B505">
        <f t="shared" si="70"/>
        <v>40.89</v>
      </c>
      <c r="C505" s="1" t="s">
        <v>59</v>
      </c>
      <c r="D505" s="1" t="s">
        <v>62</v>
      </c>
      <c r="E505" s="1" t="s">
        <v>66</v>
      </c>
      <c r="F505" s="1" t="s">
        <v>49</v>
      </c>
      <c r="G505">
        <v>844</v>
      </c>
      <c r="H505" s="4">
        <v>1.00000000000051E-2</v>
      </c>
      <c r="I505" s="4">
        <v>126</v>
      </c>
      <c r="J505" s="4">
        <v>37</v>
      </c>
      <c r="K505" s="4">
        <v>38.450000000000003</v>
      </c>
      <c r="L505" s="4">
        <v>67</v>
      </c>
      <c r="M505" s="4">
        <v>30</v>
      </c>
      <c r="N505" s="4">
        <v>70</v>
      </c>
      <c r="O505" s="4">
        <v>29</v>
      </c>
      <c r="P505" s="4">
        <v>16.052363028084098</v>
      </c>
      <c r="Q505" s="4">
        <v>31.795558820656801</v>
      </c>
      <c r="R505" s="4">
        <v>20</v>
      </c>
      <c r="S505" s="7" t="s">
        <v>34</v>
      </c>
      <c r="T505" s="4">
        <v>329202</v>
      </c>
      <c r="U505" s="4">
        <v>810972</v>
      </c>
      <c r="V505" s="4">
        <v>49300</v>
      </c>
      <c r="W505" s="4">
        <v>121100</v>
      </c>
      <c r="X505" s="4">
        <v>196022</v>
      </c>
      <c r="Y505" s="4">
        <v>614950</v>
      </c>
      <c r="Z505" s="4">
        <v>120000</v>
      </c>
      <c r="AA505" s="4">
        <v>1100</v>
      </c>
      <c r="AB505" s="4">
        <v>101968</v>
      </c>
      <c r="AC505" s="4">
        <v>482611</v>
      </c>
      <c r="AD505" s="4">
        <v>2445</v>
      </c>
      <c r="AE505" s="4">
        <v>59575</v>
      </c>
      <c r="AF505" s="4">
        <v>646599</v>
      </c>
      <c r="AG505" s="6">
        <v>27730</v>
      </c>
      <c r="AH505" s="6">
        <v>27587</v>
      </c>
      <c r="AI505" s="6">
        <v>143</v>
      </c>
      <c r="AL505" s="4">
        <v>3150</v>
      </c>
      <c r="AM505" s="4">
        <v>37103</v>
      </c>
      <c r="AN505" s="4">
        <v>3961</v>
      </c>
      <c r="AO505" s="6">
        <v>312770</v>
      </c>
      <c r="AP505" s="6">
        <v>311060</v>
      </c>
      <c r="AQ505" s="6">
        <v>1710</v>
      </c>
      <c r="AS505" s="6">
        <v>12.5</v>
      </c>
      <c r="AT505" s="6">
        <v>0.8</v>
      </c>
      <c r="AV505" s="4">
        <v>1067</v>
      </c>
      <c r="AW505" s="4">
        <v>1171</v>
      </c>
    </row>
    <row r="506" spans="1:49" x14ac:dyDescent="0.2">
      <c r="A506" s="1">
        <v>44221</v>
      </c>
      <c r="B506">
        <f t="shared" si="70"/>
        <v>40.89</v>
      </c>
      <c r="C506" s="1" t="s">
        <v>59</v>
      </c>
      <c r="D506" s="1" t="s">
        <v>62</v>
      </c>
      <c r="E506" s="1" t="s">
        <v>66</v>
      </c>
      <c r="F506" s="1" t="s">
        <v>49</v>
      </c>
      <c r="G506">
        <v>857</v>
      </c>
      <c r="H506" s="4">
        <v>1.9999999999996E-2</v>
      </c>
      <c r="I506" s="4">
        <v>125</v>
      </c>
      <c r="J506" s="4">
        <v>38</v>
      </c>
      <c r="K506" s="4">
        <v>40.03</v>
      </c>
      <c r="L506" s="4">
        <v>94</v>
      </c>
      <c r="M506" s="4">
        <v>33</v>
      </c>
      <c r="N506" s="4">
        <v>74</v>
      </c>
      <c r="O506" s="4">
        <v>31</v>
      </c>
      <c r="P506" s="4">
        <v>16.897287998453798</v>
      </c>
      <c r="Q506" s="4">
        <v>33.217526920942802</v>
      </c>
      <c r="R506" s="4">
        <v>22</v>
      </c>
      <c r="S506" s="7" t="s">
        <v>34</v>
      </c>
      <c r="T506" s="4">
        <v>204193</v>
      </c>
      <c r="U506" s="4">
        <v>809470</v>
      </c>
      <c r="V506" s="4">
        <v>3841</v>
      </c>
      <c r="W506" s="4">
        <v>121100</v>
      </c>
      <c r="X506" s="4">
        <v>195520</v>
      </c>
      <c r="Y506" s="4">
        <v>613950</v>
      </c>
      <c r="Z506" s="4">
        <v>120000</v>
      </c>
      <c r="AA506" s="4">
        <v>1100</v>
      </c>
      <c r="AB506" s="4">
        <v>81180</v>
      </c>
      <c r="AC506" s="4">
        <v>457607</v>
      </c>
      <c r="AD506" s="4">
        <v>2330</v>
      </c>
      <c r="AE506" s="4">
        <v>13300</v>
      </c>
      <c r="AF506" s="4">
        <v>554417</v>
      </c>
      <c r="AG506" s="6">
        <v>30736</v>
      </c>
      <c r="AH506" s="6">
        <v>30588</v>
      </c>
      <c r="AI506" s="6">
        <v>148</v>
      </c>
      <c r="AL506" s="4">
        <v>2932</v>
      </c>
      <c r="AM506" s="4">
        <v>37758</v>
      </c>
      <c r="AN506" s="4">
        <v>4032</v>
      </c>
      <c r="AO506" s="6">
        <v>281725</v>
      </c>
      <c r="AP506" s="6">
        <v>279757</v>
      </c>
      <c r="AQ506" s="6">
        <v>1968</v>
      </c>
      <c r="AS506" s="6">
        <v>11.9</v>
      </c>
      <c r="AT506" s="6">
        <v>0.8</v>
      </c>
      <c r="AV506" s="4">
        <v>1169</v>
      </c>
      <c r="AW506" s="4">
        <v>1263</v>
      </c>
    </row>
    <row r="507" spans="1:49" x14ac:dyDescent="0.2">
      <c r="A507" s="1">
        <v>44220</v>
      </c>
      <c r="B507">
        <v>37.409999999999997</v>
      </c>
      <c r="C507" s="1" t="s">
        <v>59</v>
      </c>
      <c r="D507" s="1" t="s">
        <v>62</v>
      </c>
      <c r="E507" s="1" t="s">
        <v>66</v>
      </c>
      <c r="F507" s="1" t="s">
        <v>49</v>
      </c>
      <c r="G507">
        <v>856</v>
      </c>
      <c r="H507" s="4">
        <v>1.00000000000051E-2</v>
      </c>
      <c r="I507" s="4">
        <v>114</v>
      </c>
      <c r="J507" s="4">
        <v>60</v>
      </c>
      <c r="K507" s="4">
        <v>30.88</v>
      </c>
      <c r="L507" s="4">
        <v>92</v>
      </c>
      <c r="M507" s="4">
        <v>24</v>
      </c>
      <c r="N507" s="4">
        <v>63</v>
      </c>
      <c r="O507" s="4">
        <v>28</v>
      </c>
      <c r="P507" s="4">
        <v>13.0976448940784</v>
      </c>
      <c r="Q507" s="4">
        <v>31.672535803922798</v>
      </c>
      <c r="R507" s="4">
        <v>20</v>
      </c>
      <c r="S507" s="7" t="s">
        <v>34</v>
      </c>
      <c r="T507" s="4">
        <v>262138</v>
      </c>
      <c r="U507" s="4">
        <v>811855</v>
      </c>
      <c r="V507" s="4">
        <v>571</v>
      </c>
      <c r="W507" s="4">
        <v>121100</v>
      </c>
      <c r="X507" s="4">
        <v>195128</v>
      </c>
      <c r="Y507" s="4">
        <v>614300</v>
      </c>
      <c r="Z507" s="4">
        <v>120000</v>
      </c>
      <c r="AA507" s="4">
        <v>3527</v>
      </c>
      <c r="AB507" s="4">
        <v>60387</v>
      </c>
      <c r="AC507" s="4">
        <v>334119</v>
      </c>
      <c r="AD507" s="4">
        <v>571</v>
      </c>
      <c r="AE507" s="4">
        <v>17725</v>
      </c>
      <c r="AF507" s="4">
        <v>412802</v>
      </c>
      <c r="AG507" s="6">
        <v>17554</v>
      </c>
      <c r="AH507" s="6">
        <v>17512</v>
      </c>
      <c r="AI507" s="6">
        <v>42</v>
      </c>
      <c r="AL507" s="4">
        <v>3113</v>
      </c>
      <c r="AM507" s="4">
        <v>37732</v>
      </c>
      <c r="AN507" s="4">
        <v>4077</v>
      </c>
      <c r="AO507" s="6">
        <v>221067</v>
      </c>
      <c r="AP507" s="6">
        <v>220249</v>
      </c>
      <c r="AQ507" s="6">
        <v>818</v>
      </c>
      <c r="AS507" s="6">
        <v>11.4</v>
      </c>
      <c r="AT507" s="6">
        <v>0.8</v>
      </c>
      <c r="AV507" s="4">
        <v>1159</v>
      </c>
      <c r="AW507" s="4">
        <v>1239</v>
      </c>
    </row>
    <row r="508" spans="1:49" x14ac:dyDescent="0.2">
      <c r="A508" s="1">
        <v>44219</v>
      </c>
      <c r="B508">
        <f>B507</f>
        <v>37.409999999999997</v>
      </c>
      <c r="C508" s="1" t="s">
        <v>59</v>
      </c>
      <c r="D508" s="1" t="s">
        <v>62</v>
      </c>
      <c r="E508" s="1" t="s">
        <v>66</v>
      </c>
      <c r="F508" s="1" t="s">
        <v>49</v>
      </c>
      <c r="G508">
        <v>853</v>
      </c>
      <c r="H508" s="4">
        <v>6.9999999999993207E-2</v>
      </c>
      <c r="I508" s="4">
        <v>116</v>
      </c>
      <c r="J508" s="4">
        <v>63</v>
      </c>
      <c r="K508" s="4">
        <v>51.08</v>
      </c>
      <c r="L508" s="4">
        <v>79</v>
      </c>
      <c r="M508" s="4">
        <v>28</v>
      </c>
      <c r="N508" s="4">
        <v>75</v>
      </c>
      <c r="O508" s="4">
        <v>31</v>
      </c>
      <c r="P508" s="4">
        <v>13.594287857315001</v>
      </c>
      <c r="Q508" s="4">
        <v>33.683708216747199</v>
      </c>
      <c r="R508" s="4">
        <v>21</v>
      </c>
      <c r="S508" s="7" t="s">
        <v>34</v>
      </c>
      <c r="T508" s="4">
        <v>383784</v>
      </c>
      <c r="U508" s="4">
        <v>809456</v>
      </c>
      <c r="V508" s="4">
        <v>1940</v>
      </c>
      <c r="W508" s="4">
        <v>121100</v>
      </c>
      <c r="X508" s="4">
        <v>192638</v>
      </c>
      <c r="Y508" s="4">
        <v>614350</v>
      </c>
      <c r="Z508" s="4">
        <v>120000</v>
      </c>
      <c r="AA508" s="4">
        <v>3568</v>
      </c>
      <c r="AB508" s="4">
        <v>78505</v>
      </c>
      <c r="AC508" s="4">
        <v>381301</v>
      </c>
      <c r="AD508" s="4">
        <v>745</v>
      </c>
      <c r="AE508" s="4">
        <v>20449</v>
      </c>
      <c r="AF508" s="4">
        <v>481000</v>
      </c>
      <c r="AG508" s="6">
        <v>22344</v>
      </c>
      <c r="AH508" s="6">
        <v>22270</v>
      </c>
      <c r="AI508" s="6">
        <v>74</v>
      </c>
      <c r="AL508" s="4">
        <v>3118</v>
      </c>
      <c r="AM508" s="4">
        <v>37400</v>
      </c>
      <c r="AN508" s="4">
        <v>4066</v>
      </c>
      <c r="AO508" s="6">
        <v>493013</v>
      </c>
      <c r="AP508" s="6">
        <v>491970</v>
      </c>
      <c r="AQ508" s="6">
        <v>1043</v>
      </c>
      <c r="AS508" s="6">
        <v>11</v>
      </c>
      <c r="AT508" s="6">
        <v>0.8</v>
      </c>
      <c r="AV508" s="4">
        <v>1173</v>
      </c>
      <c r="AW508" s="4">
        <v>1286</v>
      </c>
    </row>
    <row r="509" spans="1:49" x14ac:dyDescent="0.2">
      <c r="A509" s="1">
        <v>44218</v>
      </c>
      <c r="B509">
        <f t="shared" ref="B509:B513" si="71">B508</f>
        <v>37.409999999999997</v>
      </c>
      <c r="C509" s="1" t="s">
        <v>59</v>
      </c>
      <c r="D509" s="1" t="s">
        <v>62</v>
      </c>
      <c r="E509" s="1" t="s">
        <v>66</v>
      </c>
      <c r="F509" s="1" t="s">
        <v>49</v>
      </c>
      <c r="G509">
        <v>858</v>
      </c>
      <c r="H509" s="4">
        <v>1.00000000000051E-2</v>
      </c>
      <c r="I509" s="4">
        <v>126</v>
      </c>
      <c r="J509" s="4">
        <v>40</v>
      </c>
      <c r="K509" s="4">
        <v>47.02</v>
      </c>
      <c r="L509" s="4">
        <v>92</v>
      </c>
      <c r="M509" s="4">
        <v>30</v>
      </c>
      <c r="N509" s="4">
        <v>76</v>
      </c>
      <c r="O509" s="4">
        <v>31</v>
      </c>
      <c r="P509" s="4">
        <v>15.8853152069922</v>
      </c>
      <c r="Q509" s="4">
        <v>32.777072204023398</v>
      </c>
      <c r="R509" s="4">
        <v>20</v>
      </c>
      <c r="S509" s="7" t="s">
        <v>34</v>
      </c>
      <c r="T509" s="4">
        <v>402592</v>
      </c>
      <c r="U509" s="4">
        <v>814605</v>
      </c>
      <c r="V509" s="4">
        <v>2485</v>
      </c>
      <c r="W509" s="4">
        <v>121100</v>
      </c>
      <c r="X509" s="4">
        <v>193006</v>
      </c>
      <c r="Y509" s="4">
        <v>618650</v>
      </c>
      <c r="Z509" s="4">
        <v>120000</v>
      </c>
      <c r="AA509" s="4">
        <v>4049</v>
      </c>
      <c r="AB509" s="4">
        <v>81344</v>
      </c>
      <c r="AC509" s="4">
        <v>529002</v>
      </c>
      <c r="AD509" s="4">
        <v>2485</v>
      </c>
      <c r="AE509" s="4">
        <v>20587</v>
      </c>
      <c r="AF509" s="4">
        <v>633418</v>
      </c>
      <c r="AG509" s="6">
        <v>30330</v>
      </c>
      <c r="AH509" s="6">
        <v>30208</v>
      </c>
      <c r="AI509" s="6">
        <v>122</v>
      </c>
      <c r="AL509" s="4">
        <v>3395</v>
      </c>
      <c r="AM509" s="4">
        <v>38260</v>
      </c>
      <c r="AN509" s="4">
        <v>4076</v>
      </c>
      <c r="AO509" s="6">
        <v>480069</v>
      </c>
      <c r="AP509" s="6">
        <v>478248</v>
      </c>
      <c r="AQ509" s="6">
        <v>1821</v>
      </c>
      <c r="AS509" s="6">
        <v>10.199999999999999</v>
      </c>
      <c r="AT509" s="6">
        <v>0.8</v>
      </c>
      <c r="AV509" s="4">
        <v>1247</v>
      </c>
      <c r="AW509" s="4">
        <v>1333</v>
      </c>
    </row>
    <row r="510" spans="1:49" x14ac:dyDescent="0.2">
      <c r="A510" s="1">
        <v>44217</v>
      </c>
      <c r="B510">
        <f t="shared" si="71"/>
        <v>37.409999999999997</v>
      </c>
      <c r="C510" s="1" t="s">
        <v>59</v>
      </c>
      <c r="D510" s="1" t="s">
        <v>62</v>
      </c>
      <c r="E510" s="1" t="s">
        <v>66</v>
      </c>
      <c r="F510" s="1" t="s">
        <v>49</v>
      </c>
      <c r="G510">
        <v>870</v>
      </c>
      <c r="H510" s="4">
        <v>4.9999999999997199E-2</v>
      </c>
      <c r="I510" s="4">
        <v>127</v>
      </c>
      <c r="J510" s="4">
        <v>37</v>
      </c>
      <c r="K510" s="4">
        <v>41.91</v>
      </c>
      <c r="L510" s="4">
        <v>87</v>
      </c>
      <c r="M510" s="4">
        <v>30</v>
      </c>
      <c r="N510" s="4">
        <v>74</v>
      </c>
      <c r="O510" s="4">
        <v>29</v>
      </c>
      <c r="P510" s="4">
        <v>15.585772621072</v>
      </c>
      <c r="Q510" s="4">
        <v>31.693325177099702</v>
      </c>
      <c r="R510" s="4">
        <v>19</v>
      </c>
      <c r="S510" s="7" t="s">
        <v>34</v>
      </c>
      <c r="T510" s="4">
        <v>435543</v>
      </c>
      <c r="U510" s="4">
        <v>814525</v>
      </c>
      <c r="V510" s="4">
        <v>3659</v>
      </c>
      <c r="W510" s="4">
        <v>121100</v>
      </c>
      <c r="X510" s="4">
        <v>193116</v>
      </c>
      <c r="Y510" s="4">
        <v>617650</v>
      </c>
      <c r="Z510" s="4">
        <v>120000</v>
      </c>
      <c r="AA510" s="4">
        <v>4859</v>
      </c>
      <c r="AB510" s="4">
        <v>92935</v>
      </c>
      <c r="AC510" s="4">
        <v>547737</v>
      </c>
      <c r="AD510" s="4">
        <v>2803</v>
      </c>
      <c r="AE510" s="4">
        <v>21649</v>
      </c>
      <c r="AF510" s="4">
        <v>665124</v>
      </c>
      <c r="AG510" s="6">
        <v>32501</v>
      </c>
      <c r="AH510" s="6">
        <v>32370</v>
      </c>
      <c r="AI510" s="6">
        <v>131</v>
      </c>
      <c r="AL510" s="4">
        <v>3637</v>
      </c>
      <c r="AM510" s="4">
        <v>38061</v>
      </c>
      <c r="AN510" s="4">
        <v>3960</v>
      </c>
      <c r="AO510" s="6">
        <v>412615</v>
      </c>
      <c r="AP510" s="6">
        <v>409855</v>
      </c>
      <c r="AQ510" s="6">
        <v>2760</v>
      </c>
      <c r="AS510" s="6">
        <v>9.4</v>
      </c>
      <c r="AT510" s="6">
        <v>0.8</v>
      </c>
      <c r="AV510" s="4">
        <v>1238</v>
      </c>
      <c r="AW510" s="4">
        <v>1349</v>
      </c>
    </row>
    <row r="511" spans="1:49" x14ac:dyDescent="0.2">
      <c r="A511" s="1">
        <v>44216</v>
      </c>
      <c r="B511">
        <f t="shared" si="71"/>
        <v>37.409999999999997</v>
      </c>
      <c r="C511" s="1" t="s">
        <v>59</v>
      </c>
      <c r="D511" s="1" t="s">
        <v>62</v>
      </c>
      <c r="E511" s="1" t="s">
        <v>66</v>
      </c>
      <c r="F511" s="1" t="s">
        <v>49</v>
      </c>
      <c r="G511">
        <v>892</v>
      </c>
      <c r="H511" s="4">
        <v>3.0000000000001099E-2</v>
      </c>
      <c r="I511" s="4">
        <v>127</v>
      </c>
      <c r="J511" s="4">
        <v>37</v>
      </c>
      <c r="K511" s="4">
        <v>37.51</v>
      </c>
      <c r="L511" s="4">
        <v>59</v>
      </c>
      <c r="M511" s="4">
        <v>27</v>
      </c>
      <c r="N511" s="4">
        <v>67</v>
      </c>
      <c r="O511" s="4">
        <v>28</v>
      </c>
      <c r="P511" s="4">
        <v>15.351947017099899</v>
      </c>
      <c r="Q511" s="4">
        <v>30.304755938136299</v>
      </c>
      <c r="R511" s="4">
        <v>19</v>
      </c>
      <c r="S511" s="7" t="s">
        <v>34</v>
      </c>
      <c r="T511" s="4">
        <v>434247</v>
      </c>
      <c r="U511" s="4">
        <v>815648</v>
      </c>
      <c r="V511" s="4">
        <v>4194</v>
      </c>
      <c r="W511" s="4">
        <v>121100</v>
      </c>
      <c r="X511" s="4">
        <v>192975</v>
      </c>
      <c r="Y511" s="4">
        <v>618210</v>
      </c>
      <c r="Z511" s="4">
        <v>120000</v>
      </c>
      <c r="AA511" s="4">
        <v>5563</v>
      </c>
      <c r="AB511" s="4">
        <v>104730</v>
      </c>
      <c r="AC511" s="4">
        <v>512639</v>
      </c>
      <c r="AD511" s="4">
        <v>2842</v>
      </c>
      <c r="AE511" s="4">
        <v>24987</v>
      </c>
      <c r="AF511" s="4">
        <v>645198</v>
      </c>
      <c r="AG511" s="6">
        <v>35985</v>
      </c>
      <c r="AH511" s="6">
        <v>35824</v>
      </c>
      <c r="AI511" s="6">
        <v>161</v>
      </c>
      <c r="AL511" s="4">
        <v>4051</v>
      </c>
      <c r="AM511" s="4">
        <v>38741</v>
      </c>
      <c r="AN511" s="4">
        <v>3953</v>
      </c>
      <c r="AO511" s="6">
        <v>366919</v>
      </c>
      <c r="AP511" s="6">
        <v>363508</v>
      </c>
      <c r="AQ511" s="6">
        <v>3411</v>
      </c>
      <c r="AS511" s="6">
        <v>8.6</v>
      </c>
      <c r="AT511" s="6">
        <v>0.8</v>
      </c>
      <c r="AV511" s="4">
        <v>1299</v>
      </c>
      <c r="AW511" s="4">
        <v>1382</v>
      </c>
    </row>
    <row r="512" spans="1:49" x14ac:dyDescent="0.2">
      <c r="A512" s="1">
        <v>44215</v>
      </c>
      <c r="B512">
        <f t="shared" si="71"/>
        <v>37.409999999999997</v>
      </c>
      <c r="C512" s="1" t="s">
        <v>59</v>
      </c>
      <c r="D512" s="1" t="s">
        <v>62</v>
      </c>
      <c r="E512" s="1" t="s">
        <v>66</v>
      </c>
      <c r="F512" s="1" t="s">
        <v>49</v>
      </c>
      <c r="G512">
        <v>908</v>
      </c>
      <c r="H512" s="4">
        <v>1.00000000000051E-2</v>
      </c>
      <c r="I512" s="4">
        <v>126</v>
      </c>
      <c r="J512" s="4">
        <v>36</v>
      </c>
      <c r="K512" s="4">
        <v>40.42</v>
      </c>
      <c r="L512" s="4">
        <v>73</v>
      </c>
      <c r="M512" s="4">
        <v>30</v>
      </c>
      <c r="N512" s="4">
        <v>70</v>
      </c>
      <c r="O512" s="4">
        <v>29</v>
      </c>
      <c r="P512" s="4">
        <v>15.594489858405201</v>
      </c>
      <c r="Q512" s="4">
        <v>31.3077269959246</v>
      </c>
      <c r="R512" s="4">
        <v>20</v>
      </c>
      <c r="S512" s="7" t="s">
        <v>34</v>
      </c>
      <c r="T512" s="4">
        <v>360702</v>
      </c>
      <c r="U512" s="4">
        <v>817011</v>
      </c>
      <c r="V512" s="4">
        <v>3744</v>
      </c>
      <c r="W512" s="4">
        <v>121100</v>
      </c>
      <c r="X512" s="4">
        <v>193210</v>
      </c>
      <c r="Y512" s="4">
        <v>620542</v>
      </c>
      <c r="Z512" s="4">
        <v>120000</v>
      </c>
      <c r="AA512" s="4">
        <v>4359</v>
      </c>
      <c r="AB512" s="4">
        <v>100804</v>
      </c>
      <c r="AC512" s="4">
        <v>461109</v>
      </c>
      <c r="AD512" s="4">
        <v>2506</v>
      </c>
      <c r="AE512" s="4">
        <v>21371</v>
      </c>
      <c r="AF512" s="4">
        <v>585790</v>
      </c>
      <c r="AG512" s="6">
        <v>40526</v>
      </c>
      <c r="AH512" s="6">
        <v>40343</v>
      </c>
      <c r="AI512" s="6">
        <v>183</v>
      </c>
      <c r="AL512" s="4">
        <v>4161</v>
      </c>
      <c r="AM512" s="4">
        <v>38848</v>
      </c>
      <c r="AN512" s="4">
        <v>3947</v>
      </c>
      <c r="AO512" s="6">
        <v>346922</v>
      </c>
      <c r="AP512" s="6">
        <v>343163</v>
      </c>
      <c r="AQ512" s="6">
        <v>3759</v>
      </c>
      <c r="AS512" s="6">
        <v>8</v>
      </c>
      <c r="AT512" s="6">
        <v>0.8</v>
      </c>
      <c r="AV512" s="4">
        <v>1366</v>
      </c>
      <c r="AW512" s="4">
        <v>1488</v>
      </c>
    </row>
    <row r="513" spans="1:49" x14ac:dyDescent="0.2">
      <c r="A513" s="1">
        <v>44214</v>
      </c>
      <c r="B513">
        <f t="shared" si="71"/>
        <v>37.409999999999997</v>
      </c>
      <c r="C513" s="1" t="s">
        <v>59</v>
      </c>
      <c r="D513" s="1" t="s">
        <v>62</v>
      </c>
      <c r="E513" s="1" t="s">
        <v>66</v>
      </c>
      <c r="F513" s="1" t="s">
        <v>49</v>
      </c>
      <c r="G513">
        <v>922</v>
      </c>
      <c r="H513" s="4">
        <v>1.00000000000051E-2</v>
      </c>
      <c r="I513" s="4">
        <v>125</v>
      </c>
      <c r="J513" s="4">
        <v>37</v>
      </c>
      <c r="K513" s="4">
        <v>40.21</v>
      </c>
      <c r="L513" s="4">
        <v>85</v>
      </c>
      <c r="M513" s="4">
        <v>32</v>
      </c>
      <c r="N513" s="4">
        <v>71</v>
      </c>
      <c r="O513" s="4">
        <v>30</v>
      </c>
      <c r="P513" s="4">
        <v>16.276004459147</v>
      </c>
      <c r="Q513" s="4">
        <v>31.897649253899299</v>
      </c>
      <c r="R513" s="4">
        <v>21</v>
      </c>
      <c r="S513" s="7" t="s">
        <v>34</v>
      </c>
      <c r="T513" s="4">
        <v>269541</v>
      </c>
      <c r="U513" s="4">
        <v>816386</v>
      </c>
      <c r="V513" s="4">
        <v>3250</v>
      </c>
      <c r="W513" s="4">
        <v>121100</v>
      </c>
      <c r="X513" s="4">
        <v>192612</v>
      </c>
      <c r="Y513" s="4">
        <v>618242</v>
      </c>
      <c r="Z513" s="4">
        <v>120000</v>
      </c>
      <c r="AA513" s="4">
        <v>6632</v>
      </c>
      <c r="AB513" s="4">
        <v>76559</v>
      </c>
      <c r="AC513" s="4">
        <v>467511</v>
      </c>
      <c r="AD513" s="4">
        <v>2993</v>
      </c>
      <c r="AE513" s="4">
        <v>19918</v>
      </c>
      <c r="AF513" s="4">
        <v>566981</v>
      </c>
      <c r="AG513" s="6">
        <v>45956</v>
      </c>
      <c r="AH513" s="6">
        <v>45752</v>
      </c>
      <c r="AI513" s="6">
        <v>204</v>
      </c>
      <c r="AL513" s="4">
        <v>4062</v>
      </c>
      <c r="AM513" s="4">
        <v>39256</v>
      </c>
      <c r="AN513" s="4">
        <v>3916</v>
      </c>
      <c r="AO513" s="6">
        <v>208641</v>
      </c>
      <c r="AP513" s="6">
        <v>204076</v>
      </c>
      <c r="AQ513" s="6">
        <v>4565</v>
      </c>
      <c r="AS513" s="6">
        <v>7.4</v>
      </c>
      <c r="AT513" s="6">
        <v>0.8</v>
      </c>
      <c r="AV513" s="4">
        <v>1299</v>
      </c>
      <c r="AW513" s="4">
        <v>1401</v>
      </c>
    </row>
    <row r="514" spans="1:49" x14ac:dyDescent="0.2">
      <c r="A514" s="1">
        <v>44213</v>
      </c>
      <c r="B514">
        <v>26.25</v>
      </c>
      <c r="C514" s="1" t="s">
        <v>59</v>
      </c>
      <c r="D514" s="1" t="s">
        <v>62</v>
      </c>
      <c r="E514" s="1" t="s">
        <v>66</v>
      </c>
      <c r="F514" s="1" t="s">
        <v>49</v>
      </c>
      <c r="G514">
        <v>945</v>
      </c>
      <c r="H514" s="4">
        <v>4.9999999999997199E-2</v>
      </c>
      <c r="I514" s="4">
        <v>113</v>
      </c>
      <c r="J514" s="4">
        <v>63</v>
      </c>
      <c r="K514" s="4">
        <v>41.98</v>
      </c>
      <c r="L514" s="4">
        <v>106</v>
      </c>
      <c r="M514" s="4">
        <v>29</v>
      </c>
      <c r="N514" s="4">
        <v>70</v>
      </c>
      <c r="O514" s="4">
        <v>32</v>
      </c>
      <c r="P514" s="4">
        <v>14.8107228116257</v>
      </c>
      <c r="Q514" s="4">
        <v>35.224802442848997</v>
      </c>
      <c r="R514" s="4">
        <v>22</v>
      </c>
      <c r="S514" s="7" t="s">
        <v>34</v>
      </c>
      <c r="T514" s="4">
        <v>320129</v>
      </c>
      <c r="U514" s="4">
        <v>806417</v>
      </c>
      <c r="V514" s="4">
        <v>636</v>
      </c>
      <c r="W514" s="4">
        <v>121100</v>
      </c>
      <c r="X514" s="4">
        <v>192030</v>
      </c>
      <c r="Y514" s="4">
        <v>607742</v>
      </c>
      <c r="Z514" s="4">
        <v>120000</v>
      </c>
      <c r="AA514" s="4">
        <v>7745</v>
      </c>
      <c r="AB514" s="4">
        <v>63060</v>
      </c>
      <c r="AC514" s="4">
        <v>332684</v>
      </c>
      <c r="AD514" s="4">
        <v>636</v>
      </c>
      <c r="AE514" s="4">
        <v>21592</v>
      </c>
      <c r="AF514" s="4">
        <v>417972</v>
      </c>
      <c r="AG514" s="6">
        <v>29592</v>
      </c>
      <c r="AH514" s="6">
        <v>29507</v>
      </c>
      <c r="AI514" s="6">
        <v>85</v>
      </c>
      <c r="AL514" s="4">
        <v>3751</v>
      </c>
      <c r="AM514" s="4">
        <v>38171</v>
      </c>
      <c r="AN514" s="4">
        <v>3871</v>
      </c>
      <c r="AO514" s="6">
        <v>192346</v>
      </c>
      <c r="AP514" s="6">
        <v>190107</v>
      </c>
      <c r="AQ514" s="6">
        <v>2239</v>
      </c>
      <c r="AS514" s="6">
        <v>7.1</v>
      </c>
      <c r="AT514" s="6">
        <v>0.8</v>
      </c>
      <c r="AV514" s="4">
        <v>1272</v>
      </c>
      <c r="AW514" s="4">
        <v>1361</v>
      </c>
    </row>
    <row r="515" spans="1:49" x14ac:dyDescent="0.2">
      <c r="A515" s="1">
        <v>44212</v>
      </c>
      <c r="B515">
        <f>B514</f>
        <v>26.25</v>
      </c>
      <c r="C515" s="1" t="s">
        <v>59</v>
      </c>
      <c r="D515" s="1" t="s">
        <v>62</v>
      </c>
      <c r="E515" s="1" t="s">
        <v>66</v>
      </c>
      <c r="F515" s="1" t="s">
        <v>49</v>
      </c>
      <c r="G515">
        <v>966</v>
      </c>
      <c r="H515" s="4">
        <v>0.29000000000000598</v>
      </c>
      <c r="I515" s="4">
        <v>118</v>
      </c>
      <c r="J515" s="4">
        <v>60</v>
      </c>
      <c r="K515" s="4">
        <v>42.88</v>
      </c>
      <c r="L515" s="4">
        <v>54</v>
      </c>
      <c r="M515" s="4">
        <v>24</v>
      </c>
      <c r="N515" s="4">
        <v>69</v>
      </c>
      <c r="O515" s="4">
        <v>28</v>
      </c>
      <c r="P515" s="4">
        <v>11.9391377228325</v>
      </c>
      <c r="Q515" s="4">
        <v>30.087258271635701</v>
      </c>
      <c r="R515" s="4">
        <v>17</v>
      </c>
      <c r="S515" s="7" t="s">
        <v>34</v>
      </c>
      <c r="T515" s="4">
        <v>408320</v>
      </c>
      <c r="U515" s="4">
        <v>809202</v>
      </c>
      <c r="V515" s="4">
        <v>1437</v>
      </c>
      <c r="W515" s="4">
        <v>121100</v>
      </c>
      <c r="X515" s="4">
        <v>195558</v>
      </c>
      <c r="Y515" s="4">
        <v>607250</v>
      </c>
      <c r="Z515" s="4">
        <v>120000</v>
      </c>
      <c r="AA515" s="4">
        <v>7494</v>
      </c>
      <c r="AB515" s="4">
        <v>79580</v>
      </c>
      <c r="AC515" s="4">
        <v>389799</v>
      </c>
      <c r="AD515" s="4">
        <v>640</v>
      </c>
      <c r="AE515" s="4">
        <v>22530</v>
      </c>
      <c r="AF515" s="4">
        <v>492549</v>
      </c>
      <c r="AG515" s="6">
        <v>31247</v>
      </c>
      <c r="AH515" s="6">
        <v>31159</v>
      </c>
      <c r="AI515" s="6">
        <v>88</v>
      </c>
      <c r="AL515" s="4">
        <v>3944</v>
      </c>
      <c r="AM515" s="4">
        <v>37717</v>
      </c>
      <c r="AN515" s="4">
        <v>3854</v>
      </c>
      <c r="AO515" s="6">
        <v>298751</v>
      </c>
      <c r="AP515" s="6">
        <v>296131</v>
      </c>
      <c r="AQ515" s="6">
        <v>2620</v>
      </c>
      <c r="AS515" s="6">
        <v>6.7</v>
      </c>
      <c r="AT515" s="6">
        <v>0.8</v>
      </c>
      <c r="AV515" s="4">
        <v>1310</v>
      </c>
      <c r="AW515" s="4">
        <v>1417</v>
      </c>
    </row>
    <row r="516" spans="1:49" x14ac:dyDescent="0.2">
      <c r="A516" s="1">
        <v>44211</v>
      </c>
      <c r="B516">
        <f t="shared" ref="B516:B520" si="72">B515</f>
        <v>26.25</v>
      </c>
      <c r="C516" s="1" t="s">
        <v>59</v>
      </c>
      <c r="D516" s="1" t="s">
        <v>62</v>
      </c>
      <c r="E516" s="1" t="s">
        <v>66</v>
      </c>
      <c r="F516" s="1" t="s">
        <v>49</v>
      </c>
      <c r="G516">
        <v>980</v>
      </c>
      <c r="H516" s="4">
        <v>0.14000000000000101</v>
      </c>
      <c r="I516" s="4">
        <v>127</v>
      </c>
      <c r="J516" s="4">
        <v>38</v>
      </c>
      <c r="K516" s="4">
        <v>42.63</v>
      </c>
      <c r="L516" s="4">
        <v>74</v>
      </c>
      <c r="M516" s="4">
        <v>28</v>
      </c>
      <c r="N516" s="4">
        <v>74</v>
      </c>
      <c r="O516" s="4">
        <v>29</v>
      </c>
      <c r="P516" s="4">
        <v>15.1791701104569</v>
      </c>
      <c r="Q516" s="4">
        <v>31.6128902264152</v>
      </c>
      <c r="R516" s="4">
        <v>18</v>
      </c>
      <c r="S516" s="7" t="s">
        <v>34</v>
      </c>
      <c r="T516" s="4">
        <v>415562</v>
      </c>
      <c r="U516" s="4">
        <v>810189</v>
      </c>
      <c r="V516" s="4">
        <v>4126</v>
      </c>
      <c r="W516" s="4">
        <v>121100</v>
      </c>
      <c r="X516" s="4">
        <v>196224</v>
      </c>
      <c r="Y516" s="4">
        <v>606374</v>
      </c>
      <c r="Z516" s="4">
        <v>120000</v>
      </c>
      <c r="AA516" s="4">
        <v>8691</v>
      </c>
      <c r="AB516" s="4">
        <v>84063</v>
      </c>
      <c r="AC516" s="4">
        <v>490024</v>
      </c>
      <c r="AD516" s="4">
        <v>2831</v>
      </c>
      <c r="AE516" s="4">
        <v>22685</v>
      </c>
      <c r="AF516" s="4">
        <v>599603</v>
      </c>
      <c r="AG516" s="6">
        <v>41450</v>
      </c>
      <c r="AH516" s="6">
        <v>41313</v>
      </c>
      <c r="AI516" s="6">
        <v>137</v>
      </c>
      <c r="AL516" s="4">
        <v>3684</v>
      </c>
      <c r="AM516" s="4">
        <v>38135</v>
      </c>
      <c r="AN516" s="4">
        <v>3789</v>
      </c>
      <c r="AO516" s="6">
        <v>345525</v>
      </c>
      <c r="AP516" s="6">
        <v>341317</v>
      </c>
      <c r="AQ516" s="6">
        <v>4208</v>
      </c>
      <c r="AS516" s="6">
        <v>6.2</v>
      </c>
      <c r="AT516" s="6">
        <v>0.8</v>
      </c>
      <c r="AV516" s="4">
        <v>1228</v>
      </c>
      <c r="AW516" s="4">
        <v>1323</v>
      </c>
    </row>
    <row r="517" spans="1:49" x14ac:dyDescent="0.2">
      <c r="A517" s="1">
        <v>44210</v>
      </c>
      <c r="B517">
        <f t="shared" si="72"/>
        <v>26.25</v>
      </c>
      <c r="C517" s="1" t="s">
        <v>59</v>
      </c>
      <c r="D517" s="1" t="s">
        <v>62</v>
      </c>
      <c r="E517" s="1" t="s">
        <v>66</v>
      </c>
      <c r="F517" s="1" t="s">
        <v>49</v>
      </c>
      <c r="G517">
        <v>997</v>
      </c>
      <c r="H517" s="4">
        <v>0.14000000000000101</v>
      </c>
      <c r="I517" s="4">
        <v>128</v>
      </c>
      <c r="J517" s="4">
        <v>36</v>
      </c>
      <c r="K517" s="4">
        <v>35.69</v>
      </c>
      <c r="L517" s="4">
        <v>53</v>
      </c>
      <c r="M517" s="4">
        <v>26</v>
      </c>
      <c r="N517" s="4">
        <v>67</v>
      </c>
      <c r="O517" s="4">
        <v>27</v>
      </c>
      <c r="P517" s="4">
        <v>14.7028106665688</v>
      </c>
      <c r="Q517" s="4">
        <v>29.499323952519099</v>
      </c>
      <c r="R517" s="4">
        <v>18</v>
      </c>
      <c r="S517" s="7" t="s">
        <v>34</v>
      </c>
      <c r="T517" s="4">
        <v>524110</v>
      </c>
      <c r="U517" s="4">
        <v>806881</v>
      </c>
      <c r="V517" s="4">
        <v>4231</v>
      </c>
      <c r="W517" s="4">
        <v>121100</v>
      </c>
      <c r="X517" s="4">
        <v>195828</v>
      </c>
      <c r="Y517" s="4">
        <v>600122</v>
      </c>
      <c r="Z517" s="4">
        <v>120000</v>
      </c>
      <c r="AA517" s="4">
        <v>12031</v>
      </c>
      <c r="AB517" s="4">
        <v>82418</v>
      </c>
      <c r="AC517" s="4">
        <v>576959</v>
      </c>
      <c r="AD517" s="4">
        <v>3009</v>
      </c>
      <c r="AE517" s="4">
        <v>34541</v>
      </c>
      <c r="AF517" s="4">
        <v>696927</v>
      </c>
      <c r="AG517" s="6">
        <v>43473</v>
      </c>
      <c r="AH517" s="6">
        <v>43316</v>
      </c>
      <c r="AI517" s="6">
        <v>157</v>
      </c>
      <c r="AL517" s="4">
        <v>4100</v>
      </c>
      <c r="AM517" s="4">
        <v>37694</v>
      </c>
      <c r="AN517" s="4">
        <v>3672</v>
      </c>
      <c r="AO517" s="6">
        <v>321951</v>
      </c>
      <c r="AP517" s="6">
        <v>316694</v>
      </c>
      <c r="AQ517" s="6">
        <v>5257</v>
      </c>
      <c r="AS517" s="6">
        <v>5.6</v>
      </c>
      <c r="AT517" s="6">
        <v>0.8</v>
      </c>
      <c r="AV517" s="4">
        <v>1232</v>
      </c>
      <c r="AW517" s="4">
        <v>1339</v>
      </c>
    </row>
    <row r="518" spans="1:49" x14ac:dyDescent="0.2">
      <c r="A518" s="1">
        <v>44209</v>
      </c>
      <c r="B518">
        <f t="shared" si="72"/>
        <v>26.25</v>
      </c>
      <c r="C518" s="1" t="s">
        <v>59</v>
      </c>
      <c r="D518" s="1" t="s">
        <v>62</v>
      </c>
      <c r="E518" s="1" t="s">
        <v>66</v>
      </c>
      <c r="F518" s="1" t="s">
        <v>49</v>
      </c>
      <c r="G518">
        <v>1058</v>
      </c>
      <c r="H518" s="4">
        <v>7.9999999999998295E-2</v>
      </c>
      <c r="I518" s="4">
        <v>127</v>
      </c>
      <c r="J518" s="4">
        <v>37</v>
      </c>
      <c r="K518" s="4">
        <v>37.090000000000003</v>
      </c>
      <c r="L518" s="4">
        <v>58</v>
      </c>
      <c r="M518" s="4">
        <v>28</v>
      </c>
      <c r="N518" s="4">
        <v>68</v>
      </c>
      <c r="O518" s="4">
        <v>28</v>
      </c>
      <c r="P518" s="4">
        <v>14.869563057556601</v>
      </c>
      <c r="Q518" s="4">
        <v>29.8850652893322</v>
      </c>
      <c r="R518" s="4">
        <v>18</v>
      </c>
      <c r="S518" s="7" t="s">
        <v>34</v>
      </c>
      <c r="T518" s="4">
        <v>470033</v>
      </c>
      <c r="U518" s="4">
        <v>817535</v>
      </c>
      <c r="V518" s="4">
        <v>3911</v>
      </c>
      <c r="W518" s="4">
        <v>121100</v>
      </c>
      <c r="X518" s="4">
        <v>196114</v>
      </c>
      <c r="Y518" s="4">
        <v>605146</v>
      </c>
      <c r="Z518" s="4">
        <v>120000</v>
      </c>
      <c r="AA518" s="4">
        <v>17375</v>
      </c>
      <c r="AB518" s="4">
        <v>91599</v>
      </c>
      <c r="AC518" s="4">
        <v>500327</v>
      </c>
      <c r="AD518" s="4">
        <v>2781</v>
      </c>
      <c r="AE518" s="4">
        <v>34516</v>
      </c>
      <c r="AF518" s="4">
        <v>629223</v>
      </c>
      <c r="AG518" s="6">
        <v>46506</v>
      </c>
      <c r="AH518" s="6">
        <v>46377</v>
      </c>
      <c r="AI518" s="6">
        <v>129</v>
      </c>
      <c r="AL518" s="4">
        <v>4225</v>
      </c>
      <c r="AM518" s="4">
        <v>37489</v>
      </c>
      <c r="AN518" s="4">
        <v>3626</v>
      </c>
      <c r="AO518" s="6">
        <v>288688</v>
      </c>
      <c r="AP518" s="6">
        <v>278943</v>
      </c>
      <c r="AQ518" s="6">
        <v>9745</v>
      </c>
      <c r="AS518" s="6">
        <v>5.0999999999999996</v>
      </c>
      <c r="AT518" s="6">
        <v>0.8</v>
      </c>
      <c r="AV518" s="4">
        <v>1220</v>
      </c>
      <c r="AW518" s="4">
        <v>1305</v>
      </c>
    </row>
    <row r="519" spans="1:49" x14ac:dyDescent="0.2">
      <c r="A519" s="1">
        <v>44208</v>
      </c>
      <c r="B519">
        <f t="shared" si="72"/>
        <v>26.25</v>
      </c>
      <c r="C519" s="1" t="s">
        <v>59</v>
      </c>
      <c r="D519" s="1" t="s">
        <v>62</v>
      </c>
      <c r="E519" s="1" t="s">
        <v>66</v>
      </c>
      <c r="F519" s="1" t="s">
        <v>49</v>
      </c>
      <c r="G519">
        <v>1114</v>
      </c>
      <c r="H519" s="4">
        <v>6.0000000000002301E-2</v>
      </c>
      <c r="I519" s="4">
        <v>127</v>
      </c>
      <c r="J519" s="4">
        <v>37</v>
      </c>
      <c r="K519" s="4">
        <v>39.06</v>
      </c>
      <c r="L519" s="4">
        <v>72</v>
      </c>
      <c r="M519" s="4">
        <v>30</v>
      </c>
      <c r="N519" s="4">
        <v>70</v>
      </c>
      <c r="O519" s="4">
        <v>29</v>
      </c>
      <c r="P519" s="4">
        <v>15.088009931193501</v>
      </c>
      <c r="Q519" s="4">
        <v>30.336792378875899</v>
      </c>
      <c r="R519" s="4">
        <v>19</v>
      </c>
      <c r="S519" s="7" t="s">
        <v>34</v>
      </c>
      <c r="T519" s="4">
        <v>419330</v>
      </c>
      <c r="U519" s="4">
        <v>799814</v>
      </c>
      <c r="V519" s="4">
        <v>3384</v>
      </c>
      <c r="W519" s="4">
        <v>121100</v>
      </c>
      <c r="X519" s="4">
        <v>195922</v>
      </c>
      <c r="Y519" s="4">
        <v>603892</v>
      </c>
      <c r="Z519" s="4">
        <v>120000</v>
      </c>
      <c r="AA519" s="4">
        <v>1100</v>
      </c>
      <c r="AB519" s="4">
        <v>101495</v>
      </c>
      <c r="AC519" s="4">
        <v>447659</v>
      </c>
      <c r="AD519" s="4">
        <v>2763</v>
      </c>
      <c r="AE519" s="4">
        <v>38487</v>
      </c>
      <c r="AF519" s="4">
        <v>590404</v>
      </c>
      <c r="AG519" s="6">
        <v>50647</v>
      </c>
      <c r="AH519" s="6">
        <v>50435</v>
      </c>
      <c r="AI519" s="6">
        <v>212</v>
      </c>
      <c r="AL519" s="4">
        <v>4580</v>
      </c>
      <c r="AM519" s="4">
        <v>36983</v>
      </c>
      <c r="AN519" s="4">
        <v>3496</v>
      </c>
      <c r="AO519" s="6">
        <v>223726</v>
      </c>
      <c r="AP519" s="6">
        <v>207661</v>
      </c>
      <c r="AQ519" s="6">
        <v>16065</v>
      </c>
      <c r="AS519" s="6">
        <v>4.5999999999999996</v>
      </c>
      <c r="AT519" s="6">
        <v>0.7</v>
      </c>
      <c r="AV519" s="4">
        <v>1213</v>
      </c>
      <c r="AW519" s="4">
        <v>1318</v>
      </c>
    </row>
    <row r="520" spans="1:49" x14ac:dyDescent="0.2">
      <c r="A520" s="1">
        <v>44207</v>
      </c>
      <c r="B520">
        <f t="shared" si="72"/>
        <v>26.25</v>
      </c>
      <c r="C520" s="1" t="s">
        <v>59</v>
      </c>
      <c r="D520" s="1" t="s">
        <v>62</v>
      </c>
      <c r="E520" s="1" t="s">
        <v>66</v>
      </c>
      <c r="F520" s="1" t="s">
        <v>49</v>
      </c>
      <c r="G520">
        <v>1155</v>
      </c>
      <c r="H520" s="4">
        <v>7.9999999999998295E-2</v>
      </c>
      <c r="I520" s="4">
        <v>126</v>
      </c>
      <c r="J520" s="4">
        <v>38</v>
      </c>
      <c r="K520" s="4">
        <v>39.130000000000003</v>
      </c>
      <c r="L520" s="4">
        <v>81</v>
      </c>
      <c r="M520" s="4">
        <v>33</v>
      </c>
      <c r="N520" s="4">
        <v>72</v>
      </c>
      <c r="O520" s="4">
        <v>30</v>
      </c>
      <c r="P520" s="4">
        <v>15.894693815478</v>
      </c>
      <c r="Q520" s="4">
        <v>31.236364567754801</v>
      </c>
      <c r="R520" s="4">
        <v>21</v>
      </c>
      <c r="S520" s="7" t="s">
        <v>34</v>
      </c>
      <c r="T520" s="4">
        <v>330137</v>
      </c>
      <c r="U520" s="4">
        <v>793534</v>
      </c>
      <c r="V520" s="4">
        <v>1922</v>
      </c>
      <c r="W520" s="4">
        <v>121100</v>
      </c>
      <c r="X520" s="4">
        <v>195352</v>
      </c>
      <c r="Y520" s="4">
        <v>598182</v>
      </c>
      <c r="Z520" s="4">
        <v>120000</v>
      </c>
      <c r="AA520" s="4">
        <v>1100</v>
      </c>
      <c r="AB520" s="4">
        <v>78013</v>
      </c>
      <c r="AC520" s="4">
        <v>444386</v>
      </c>
      <c r="AD520" s="4">
        <v>1922</v>
      </c>
      <c r="AE520" s="4">
        <v>19398</v>
      </c>
      <c r="AF520" s="4">
        <v>543719</v>
      </c>
      <c r="AG520" s="6">
        <v>58591</v>
      </c>
      <c r="AH520" s="6">
        <v>58380</v>
      </c>
      <c r="AI520" s="6">
        <v>211</v>
      </c>
      <c r="AL520" s="4">
        <v>4309</v>
      </c>
      <c r="AM520" s="4">
        <v>36753</v>
      </c>
      <c r="AN520" s="4">
        <v>3363</v>
      </c>
      <c r="AO520" s="6">
        <v>165844</v>
      </c>
      <c r="AP520" s="6">
        <v>145076</v>
      </c>
      <c r="AQ520" s="6">
        <v>20768</v>
      </c>
      <c r="AS520" s="6">
        <v>4.2</v>
      </c>
      <c r="AT520" s="6">
        <v>0.7</v>
      </c>
      <c r="AV520" s="4">
        <v>1132</v>
      </c>
      <c r="AW520" s="4">
        <v>1241</v>
      </c>
    </row>
    <row r="521" spans="1:49" x14ac:dyDescent="0.2">
      <c r="A521" s="1">
        <v>44206</v>
      </c>
      <c r="B521">
        <v>46.09</v>
      </c>
      <c r="C521" s="1" t="s">
        <v>59</v>
      </c>
      <c r="D521" s="1" t="s">
        <v>62</v>
      </c>
      <c r="E521" s="1" t="s">
        <v>66</v>
      </c>
      <c r="F521" s="1" t="s">
        <v>49</v>
      </c>
      <c r="G521">
        <v>1181</v>
      </c>
      <c r="H521" s="4">
        <v>0.12999999999999501</v>
      </c>
      <c r="I521" s="4">
        <v>114</v>
      </c>
      <c r="J521" s="4">
        <v>63</v>
      </c>
      <c r="K521" s="4">
        <v>34.229999999999997</v>
      </c>
      <c r="L521" s="4">
        <v>71</v>
      </c>
      <c r="M521" s="4">
        <v>26</v>
      </c>
      <c r="N521" s="4">
        <v>66</v>
      </c>
      <c r="O521" s="4">
        <v>29</v>
      </c>
      <c r="P521" s="4">
        <v>12.701401571894699</v>
      </c>
      <c r="Q521" s="4">
        <v>32.066510687624202</v>
      </c>
      <c r="R521" s="4">
        <v>19</v>
      </c>
      <c r="S521" s="7" t="s">
        <v>34</v>
      </c>
      <c r="T521" s="4">
        <v>415137</v>
      </c>
      <c r="U521" s="4">
        <v>784972</v>
      </c>
      <c r="V521" s="4">
        <v>575</v>
      </c>
      <c r="W521" s="4">
        <v>121100</v>
      </c>
      <c r="X521" s="4">
        <v>194750</v>
      </c>
      <c r="Y521" s="4">
        <v>590222</v>
      </c>
      <c r="Z521" s="4">
        <v>120000</v>
      </c>
      <c r="AA521" s="4">
        <v>1100</v>
      </c>
      <c r="AB521" s="4">
        <v>70758</v>
      </c>
      <c r="AC521" s="4">
        <v>371809</v>
      </c>
      <c r="AD521" s="4">
        <v>575</v>
      </c>
      <c r="AE521" s="4">
        <v>43692</v>
      </c>
      <c r="AF521" s="4">
        <v>486834</v>
      </c>
      <c r="AG521" s="6">
        <v>37174</v>
      </c>
      <c r="AH521" s="6">
        <v>37105</v>
      </c>
      <c r="AI521" s="6">
        <v>69</v>
      </c>
      <c r="AL521" s="4">
        <v>3941</v>
      </c>
      <c r="AM521" s="4">
        <v>35393</v>
      </c>
      <c r="AN521" s="4">
        <v>3264</v>
      </c>
      <c r="AS521" s="6">
        <v>4</v>
      </c>
      <c r="AT521" s="6">
        <v>0.7</v>
      </c>
      <c r="AV521" s="4">
        <v>1099</v>
      </c>
      <c r="AW521" s="4">
        <v>1172</v>
      </c>
    </row>
    <row r="522" spans="1:49" x14ac:dyDescent="0.2">
      <c r="A522" s="1">
        <v>44205</v>
      </c>
      <c r="B522">
        <f>B521</f>
        <v>46.09</v>
      </c>
      <c r="C522" s="1" t="s">
        <v>59</v>
      </c>
      <c r="D522" s="1" t="s">
        <v>62</v>
      </c>
      <c r="E522" s="1" t="s">
        <v>66</v>
      </c>
      <c r="F522" s="1" t="s">
        <v>49</v>
      </c>
      <c r="G522">
        <v>1221</v>
      </c>
      <c r="H522" s="4">
        <v>0.5</v>
      </c>
      <c r="I522" s="4">
        <v>117</v>
      </c>
      <c r="J522" s="4">
        <v>63</v>
      </c>
      <c r="K522" s="4">
        <v>47.75</v>
      </c>
      <c r="L522" s="4">
        <v>76</v>
      </c>
      <c r="M522" s="4">
        <v>27</v>
      </c>
      <c r="N522" s="4">
        <v>73</v>
      </c>
      <c r="O522" s="4">
        <v>30</v>
      </c>
      <c r="P522" s="4">
        <v>11.9805843510626</v>
      </c>
      <c r="Q522" s="4">
        <v>31.290624711466101</v>
      </c>
      <c r="R522" s="4">
        <v>18</v>
      </c>
      <c r="S522" s="7" t="s">
        <v>34</v>
      </c>
      <c r="T522" s="4">
        <v>499071</v>
      </c>
      <c r="U522" s="4">
        <v>786910</v>
      </c>
      <c r="V522" s="4">
        <v>946</v>
      </c>
      <c r="W522" s="4">
        <v>121100</v>
      </c>
      <c r="X522" s="4">
        <v>191210</v>
      </c>
      <c r="Y522" s="4">
        <v>595700</v>
      </c>
      <c r="Z522" s="4">
        <v>120000</v>
      </c>
      <c r="AA522" s="4">
        <v>1100</v>
      </c>
      <c r="AB522" s="4">
        <v>78859</v>
      </c>
      <c r="AC522" s="4">
        <v>447503</v>
      </c>
      <c r="AD522" s="4">
        <v>946</v>
      </c>
      <c r="AE522" s="4">
        <v>39291</v>
      </c>
      <c r="AF522" s="4">
        <v>566599</v>
      </c>
      <c r="AG522" s="6">
        <v>40035</v>
      </c>
      <c r="AH522" s="6">
        <v>39952</v>
      </c>
      <c r="AI522" s="6">
        <v>83</v>
      </c>
      <c r="AL522" s="4">
        <v>4127</v>
      </c>
      <c r="AM522" s="4">
        <v>34034</v>
      </c>
      <c r="AN522" s="4">
        <v>3145</v>
      </c>
      <c r="AV522" s="4">
        <v>1023</v>
      </c>
      <c r="AW522" s="4">
        <v>1092</v>
      </c>
    </row>
    <row r="523" spans="1:49" x14ac:dyDescent="0.2">
      <c r="A523" s="1">
        <v>44204</v>
      </c>
      <c r="B523">
        <f t="shared" ref="B523:B527" si="73">B522</f>
        <v>46.09</v>
      </c>
      <c r="C523" s="1" t="s">
        <v>59</v>
      </c>
      <c r="D523" s="1" t="s">
        <v>62</v>
      </c>
      <c r="E523" s="1" t="s">
        <v>66</v>
      </c>
      <c r="F523" s="1" t="s">
        <v>49</v>
      </c>
      <c r="G523">
        <v>1272</v>
      </c>
      <c r="H523" s="4">
        <v>0.15000000000000599</v>
      </c>
      <c r="I523" s="4">
        <v>128</v>
      </c>
      <c r="J523" s="4">
        <v>39</v>
      </c>
      <c r="K523" s="4">
        <v>40.69</v>
      </c>
      <c r="L523" s="4">
        <v>66</v>
      </c>
      <c r="M523" s="4">
        <v>28</v>
      </c>
      <c r="N523" s="4">
        <v>72</v>
      </c>
      <c r="O523" s="4">
        <v>29</v>
      </c>
      <c r="P523" s="4">
        <v>14.743608458274499</v>
      </c>
      <c r="Q523" s="4">
        <v>30.540751707512101</v>
      </c>
      <c r="R523" s="4">
        <v>18</v>
      </c>
      <c r="S523" s="7" t="s">
        <v>34</v>
      </c>
      <c r="T523" s="4">
        <v>544186</v>
      </c>
      <c r="U523" s="4">
        <v>779418</v>
      </c>
      <c r="V523" s="4">
        <v>2578</v>
      </c>
      <c r="W523" s="4">
        <v>121100</v>
      </c>
      <c r="X523" s="4">
        <v>191976</v>
      </c>
      <c r="Y523" s="4">
        <v>587442</v>
      </c>
      <c r="Z523" s="4">
        <v>120000</v>
      </c>
      <c r="AA523" s="4">
        <v>1100</v>
      </c>
      <c r="AB523" s="4">
        <v>89281</v>
      </c>
      <c r="AC523" s="4">
        <v>557473</v>
      </c>
      <c r="AD523" s="4">
        <v>2570</v>
      </c>
      <c r="AE523" s="4">
        <v>32998</v>
      </c>
      <c r="AF523" s="4">
        <v>682322</v>
      </c>
      <c r="AG523" s="6">
        <v>48104</v>
      </c>
      <c r="AH523" s="6">
        <v>47958</v>
      </c>
      <c r="AI523" s="6">
        <v>146</v>
      </c>
      <c r="AL523" s="4">
        <v>4002</v>
      </c>
      <c r="AM523" s="4">
        <v>33780</v>
      </c>
      <c r="AN523" s="4">
        <v>3098</v>
      </c>
      <c r="AV523" s="4">
        <v>989</v>
      </c>
      <c r="AW523" s="4">
        <v>1052</v>
      </c>
    </row>
    <row r="524" spans="1:49" x14ac:dyDescent="0.2">
      <c r="A524" s="1">
        <v>44203</v>
      </c>
      <c r="B524">
        <f t="shared" si="73"/>
        <v>46.09</v>
      </c>
      <c r="C524" s="1" t="s">
        <v>59</v>
      </c>
      <c r="D524" s="1" t="s">
        <v>62</v>
      </c>
      <c r="E524" s="1" t="s">
        <v>66</v>
      </c>
      <c r="F524" s="1" t="s">
        <v>49</v>
      </c>
      <c r="G524">
        <v>1345</v>
      </c>
      <c r="H524" s="4">
        <v>0.17000000000000201</v>
      </c>
      <c r="I524" s="4">
        <v>128</v>
      </c>
      <c r="J524" s="4">
        <v>38</v>
      </c>
      <c r="K524" s="4">
        <v>38.409999999999997</v>
      </c>
      <c r="L524" s="4">
        <v>81</v>
      </c>
      <c r="M524" s="4">
        <v>30</v>
      </c>
      <c r="N524" s="4">
        <v>73</v>
      </c>
      <c r="O524" s="4">
        <v>29</v>
      </c>
      <c r="P524" s="4">
        <v>14.7812461273399</v>
      </c>
      <c r="Q524" s="4">
        <v>30.4761247095385</v>
      </c>
      <c r="R524" s="4">
        <v>19</v>
      </c>
      <c r="S524" s="7" t="s">
        <v>34</v>
      </c>
      <c r="T524" s="4">
        <v>498653</v>
      </c>
      <c r="U524" s="4">
        <v>776382</v>
      </c>
      <c r="V524" s="4">
        <v>3846</v>
      </c>
      <c r="W524" s="4">
        <v>121100</v>
      </c>
      <c r="X524" s="4">
        <v>191882</v>
      </c>
      <c r="Y524" s="4">
        <v>584500</v>
      </c>
      <c r="Z524" s="4">
        <v>120000</v>
      </c>
      <c r="AA524" s="4">
        <v>1100</v>
      </c>
      <c r="AB524" s="4">
        <v>94718</v>
      </c>
      <c r="AC524" s="4">
        <v>502113</v>
      </c>
      <c r="AD524" s="4">
        <v>3490</v>
      </c>
      <c r="AE524" s="4">
        <v>21026</v>
      </c>
      <c r="AF524" s="4">
        <v>621347</v>
      </c>
      <c r="AG524" s="6">
        <v>53187</v>
      </c>
      <c r="AH524" s="6">
        <v>53040</v>
      </c>
      <c r="AI524" s="6">
        <v>147</v>
      </c>
      <c r="AL524" s="4">
        <v>4294</v>
      </c>
      <c r="AM524" s="4">
        <v>32585</v>
      </c>
      <c r="AN524" s="4">
        <v>2929</v>
      </c>
      <c r="AV524" s="4">
        <v>997</v>
      </c>
      <c r="AW524" s="4">
        <v>1055</v>
      </c>
    </row>
    <row r="525" spans="1:49" x14ac:dyDescent="0.2">
      <c r="A525" s="1">
        <v>44202</v>
      </c>
      <c r="B525">
        <f t="shared" si="73"/>
        <v>46.09</v>
      </c>
      <c r="C525" s="1" t="s">
        <v>59</v>
      </c>
      <c r="D525" s="1" t="s">
        <v>62</v>
      </c>
      <c r="E525" s="1" t="s">
        <v>66</v>
      </c>
      <c r="F525" s="1" t="s">
        <v>49</v>
      </c>
      <c r="G525">
        <v>1401</v>
      </c>
      <c r="H525" s="4">
        <v>9.9999999999994302E-2</v>
      </c>
      <c r="I525" s="4">
        <v>127</v>
      </c>
      <c r="J525" s="4">
        <v>38</v>
      </c>
      <c r="K525" s="4">
        <v>38.630000000000003</v>
      </c>
      <c r="L525" s="4">
        <v>80</v>
      </c>
      <c r="M525" s="4">
        <v>30</v>
      </c>
      <c r="N525" s="4">
        <v>73</v>
      </c>
      <c r="O525" s="4">
        <v>29</v>
      </c>
      <c r="P525" s="4">
        <v>15.0736870730265</v>
      </c>
      <c r="Q525" s="4">
        <v>30.867053231031701</v>
      </c>
      <c r="R525" s="4">
        <v>19</v>
      </c>
      <c r="S525" s="7" t="s">
        <v>34</v>
      </c>
      <c r="T525" s="4">
        <v>461138</v>
      </c>
      <c r="U525" s="4">
        <v>768882</v>
      </c>
      <c r="V525" s="4">
        <v>3776</v>
      </c>
      <c r="W525" s="4">
        <v>121100</v>
      </c>
      <c r="X525" s="4">
        <v>191882</v>
      </c>
      <c r="Y525" s="4">
        <v>577000</v>
      </c>
      <c r="Z525" s="4">
        <v>120000</v>
      </c>
      <c r="AA525" s="4">
        <v>1100</v>
      </c>
      <c r="AB525" s="4">
        <v>94380</v>
      </c>
      <c r="AC525" s="4">
        <v>445142</v>
      </c>
      <c r="AD525" s="4">
        <v>3206</v>
      </c>
      <c r="AE525" s="4">
        <v>17937</v>
      </c>
      <c r="AF525" s="4">
        <v>560665</v>
      </c>
      <c r="AG525" s="6">
        <v>58783</v>
      </c>
      <c r="AH525" s="6">
        <v>58627</v>
      </c>
      <c r="AI525" s="6">
        <v>156</v>
      </c>
      <c r="AL525" s="4">
        <v>4396</v>
      </c>
      <c r="AM525" s="4">
        <v>31948</v>
      </c>
      <c r="AN525" s="4">
        <v>2821</v>
      </c>
      <c r="AV525" s="4">
        <v>938</v>
      </c>
      <c r="AW525" s="4">
        <v>1014</v>
      </c>
    </row>
    <row r="526" spans="1:49" x14ac:dyDescent="0.2">
      <c r="A526" s="1">
        <v>44201</v>
      </c>
      <c r="B526">
        <f t="shared" si="73"/>
        <v>46.09</v>
      </c>
      <c r="C526" s="1" t="s">
        <v>59</v>
      </c>
      <c r="D526" s="1" t="s">
        <v>62</v>
      </c>
      <c r="E526" s="1" t="s">
        <v>67</v>
      </c>
      <c r="F526" s="1" t="s">
        <v>49</v>
      </c>
      <c r="G526">
        <v>1432</v>
      </c>
      <c r="H526" s="4">
        <v>0.260000000000005</v>
      </c>
      <c r="I526" s="4">
        <v>127</v>
      </c>
      <c r="J526" s="4">
        <v>37</v>
      </c>
      <c r="K526" s="4">
        <v>36.549999999999997</v>
      </c>
      <c r="L526" s="4">
        <v>59</v>
      </c>
      <c r="M526" s="4">
        <v>30</v>
      </c>
      <c r="N526" s="4">
        <v>71</v>
      </c>
      <c r="O526" s="4">
        <v>29</v>
      </c>
      <c r="P526" s="4">
        <v>15.480444233442199</v>
      </c>
      <c r="Q526" s="4">
        <v>30.970284992996501</v>
      </c>
      <c r="R526" s="4">
        <v>20</v>
      </c>
      <c r="S526" s="7" t="s">
        <v>34</v>
      </c>
      <c r="T526" s="4">
        <v>404528</v>
      </c>
      <c r="U526" s="4">
        <v>774238</v>
      </c>
      <c r="V526" s="4">
        <v>2700</v>
      </c>
      <c r="W526" s="4">
        <v>121100</v>
      </c>
      <c r="X526" s="4">
        <v>191788</v>
      </c>
      <c r="Y526" s="4">
        <v>582450</v>
      </c>
      <c r="Z526" s="4">
        <v>120000</v>
      </c>
      <c r="AA526" s="4">
        <v>1100</v>
      </c>
      <c r="AB526" s="4">
        <v>104313</v>
      </c>
      <c r="AC526" s="4">
        <v>383697</v>
      </c>
      <c r="AD526" s="4">
        <v>2522</v>
      </c>
      <c r="AE526" s="4">
        <v>14995</v>
      </c>
      <c r="AF526" s="4">
        <v>505527</v>
      </c>
      <c r="AG526" s="6">
        <v>66635</v>
      </c>
      <c r="AH526" s="6">
        <v>66434</v>
      </c>
      <c r="AI526" s="6">
        <v>201</v>
      </c>
      <c r="AL526" s="4">
        <v>4115</v>
      </c>
      <c r="AM526" s="4">
        <v>30688</v>
      </c>
      <c r="AN526" s="4">
        <v>2645</v>
      </c>
      <c r="AV526" s="4">
        <v>909</v>
      </c>
      <c r="AW526" s="4">
        <v>972</v>
      </c>
    </row>
    <row r="527" spans="1:49" x14ac:dyDescent="0.2">
      <c r="A527" s="1">
        <v>44200</v>
      </c>
      <c r="B527">
        <f t="shared" si="73"/>
        <v>46.09</v>
      </c>
      <c r="C527" s="1" t="s">
        <v>59</v>
      </c>
      <c r="D527" s="1" t="s">
        <v>62</v>
      </c>
      <c r="E527" s="1" t="s">
        <v>67</v>
      </c>
      <c r="F527" s="1" t="s">
        <v>49</v>
      </c>
      <c r="G527">
        <v>1330</v>
      </c>
      <c r="H527" s="4">
        <v>0.23000000000000401</v>
      </c>
      <c r="I527" s="4">
        <v>125</v>
      </c>
      <c r="J527" s="4">
        <v>39</v>
      </c>
      <c r="K527" s="4">
        <v>37.69</v>
      </c>
      <c r="L527" s="4">
        <v>68</v>
      </c>
      <c r="M527" s="4">
        <v>34</v>
      </c>
      <c r="N527" s="4">
        <v>75</v>
      </c>
      <c r="O527" s="4">
        <v>31</v>
      </c>
      <c r="P527" s="4">
        <v>17.1937959933041</v>
      </c>
      <c r="Q527" s="4">
        <v>32.724137349475299</v>
      </c>
      <c r="R527" s="4">
        <v>23</v>
      </c>
      <c r="S527" s="7" t="s">
        <v>34</v>
      </c>
      <c r="T527" s="4">
        <v>360390</v>
      </c>
      <c r="U527" s="4">
        <v>760952</v>
      </c>
      <c r="V527" s="4">
        <v>1989</v>
      </c>
      <c r="W527" s="4">
        <v>121100</v>
      </c>
      <c r="X527" s="4">
        <v>191694</v>
      </c>
      <c r="Y527" s="4">
        <v>569258</v>
      </c>
      <c r="Z527" s="4">
        <v>120000</v>
      </c>
      <c r="AA527" s="4">
        <v>1100</v>
      </c>
      <c r="AB527" s="4">
        <v>75012</v>
      </c>
      <c r="AC527" s="4">
        <v>378918</v>
      </c>
      <c r="AD527" s="4">
        <v>1989</v>
      </c>
      <c r="AE527" s="4">
        <v>13503</v>
      </c>
      <c r="AF527" s="4">
        <v>469422</v>
      </c>
      <c r="AG527" s="6">
        <v>77970</v>
      </c>
      <c r="AH527" s="6">
        <v>77772</v>
      </c>
      <c r="AI527" s="6">
        <v>198</v>
      </c>
      <c r="AL527" s="4">
        <v>3937</v>
      </c>
      <c r="AM527" s="4">
        <v>30777</v>
      </c>
      <c r="AN527" s="4">
        <v>2560</v>
      </c>
      <c r="AV527" s="4">
        <v>845</v>
      </c>
      <c r="AW527" s="4">
        <v>896</v>
      </c>
    </row>
    <row r="528" spans="1:49" x14ac:dyDescent="0.2">
      <c r="A528" s="1">
        <v>44199</v>
      </c>
      <c r="B528">
        <v>24.58</v>
      </c>
      <c r="C528" s="1" t="s">
        <v>59</v>
      </c>
      <c r="D528" s="1" t="s">
        <v>62</v>
      </c>
      <c r="E528" s="1" t="s">
        <v>67</v>
      </c>
      <c r="F528" s="1" t="s">
        <v>53</v>
      </c>
      <c r="G528">
        <v>1286</v>
      </c>
      <c r="H528" s="4">
        <v>0.45000000000000301</v>
      </c>
      <c r="I528" s="4">
        <v>113</v>
      </c>
      <c r="J528" s="4">
        <v>66</v>
      </c>
      <c r="K528" s="4">
        <v>34.26</v>
      </c>
      <c r="L528" s="4">
        <v>80</v>
      </c>
      <c r="M528" s="4">
        <v>28</v>
      </c>
      <c r="N528" s="4">
        <v>67</v>
      </c>
      <c r="O528" s="4">
        <v>32</v>
      </c>
      <c r="P528" s="4">
        <v>16.389129438482001</v>
      </c>
      <c r="Q528" s="4">
        <v>35.214631634843002</v>
      </c>
      <c r="R528" s="4">
        <v>22</v>
      </c>
      <c r="S528" s="7" t="s">
        <v>34</v>
      </c>
      <c r="T528" s="4">
        <v>378744</v>
      </c>
      <c r="U528" s="4">
        <v>753753</v>
      </c>
      <c r="V528" s="4">
        <v>718</v>
      </c>
      <c r="W528" s="4">
        <v>121100</v>
      </c>
      <c r="X528" s="4">
        <v>190906</v>
      </c>
      <c r="Y528" s="4">
        <v>562847</v>
      </c>
      <c r="Z528" s="4">
        <v>120000</v>
      </c>
      <c r="AA528" s="4">
        <v>1100</v>
      </c>
      <c r="AB528" s="4">
        <v>64098</v>
      </c>
      <c r="AC528" s="4">
        <v>354571</v>
      </c>
      <c r="AD528" s="4">
        <v>718</v>
      </c>
      <c r="AE528" s="4">
        <v>11808</v>
      </c>
      <c r="AF528" s="4">
        <v>431195</v>
      </c>
      <c r="AG528" s="6">
        <v>56332</v>
      </c>
      <c r="AH528" s="6">
        <v>56245</v>
      </c>
      <c r="AI528" s="6">
        <v>87</v>
      </c>
      <c r="AL528" s="4">
        <v>3650</v>
      </c>
      <c r="AM528" s="4">
        <v>29035</v>
      </c>
      <c r="AN528" s="4">
        <v>2420</v>
      </c>
      <c r="AV528" s="4">
        <v>762</v>
      </c>
      <c r="AW528" s="4">
        <v>807</v>
      </c>
    </row>
    <row r="529" spans="1:49" x14ac:dyDescent="0.2">
      <c r="A529" s="1">
        <v>44198</v>
      </c>
      <c r="B529">
        <f>B528</f>
        <v>24.58</v>
      </c>
      <c r="C529" s="1" t="s">
        <v>59</v>
      </c>
      <c r="D529" s="1" t="s">
        <v>62</v>
      </c>
      <c r="E529" s="1" t="s">
        <v>67</v>
      </c>
      <c r="F529" s="1" t="s">
        <v>53</v>
      </c>
      <c r="G529">
        <v>1300</v>
      </c>
      <c r="H529" s="4">
        <v>0.87999999999999501</v>
      </c>
      <c r="I529" s="4">
        <v>118</v>
      </c>
      <c r="J529" s="4">
        <v>58</v>
      </c>
      <c r="K529" s="4">
        <v>39.950000000000003</v>
      </c>
      <c r="L529" s="4">
        <v>74</v>
      </c>
      <c r="M529" s="4">
        <v>26</v>
      </c>
      <c r="N529" s="4">
        <v>69</v>
      </c>
      <c r="O529" s="4">
        <v>28</v>
      </c>
      <c r="P529" s="4">
        <v>12.132589688261</v>
      </c>
      <c r="Q529" s="4">
        <v>30.476895576892499</v>
      </c>
      <c r="R529" s="4">
        <v>18</v>
      </c>
      <c r="S529" s="7" t="s">
        <v>34</v>
      </c>
      <c r="T529" s="4">
        <v>364151</v>
      </c>
      <c r="U529" s="4">
        <v>758004</v>
      </c>
      <c r="V529" s="4">
        <v>550</v>
      </c>
      <c r="W529" s="4">
        <v>121100</v>
      </c>
      <c r="X529" s="4">
        <v>191304</v>
      </c>
      <c r="Y529" s="4">
        <v>566700</v>
      </c>
      <c r="Z529" s="4">
        <v>120000</v>
      </c>
      <c r="AA529" s="4">
        <v>1100</v>
      </c>
      <c r="AB529" s="4">
        <v>65064</v>
      </c>
      <c r="AC529" s="4">
        <v>345633</v>
      </c>
      <c r="AD529" s="4">
        <v>550</v>
      </c>
      <c r="AE529" s="4">
        <v>1172</v>
      </c>
      <c r="AF529" s="4">
        <v>412419</v>
      </c>
      <c r="AG529" s="6">
        <v>61654</v>
      </c>
      <c r="AH529" s="6">
        <v>61558</v>
      </c>
      <c r="AI529" s="6">
        <v>96</v>
      </c>
      <c r="AL529" s="4">
        <v>3440</v>
      </c>
      <c r="AM529" s="4">
        <v>27563</v>
      </c>
      <c r="AN529" s="4">
        <v>2256</v>
      </c>
      <c r="AV529" s="4">
        <v>762</v>
      </c>
      <c r="AW529" s="4">
        <v>833</v>
      </c>
    </row>
    <row r="530" spans="1:49" x14ac:dyDescent="0.2">
      <c r="A530" s="1">
        <v>44197</v>
      </c>
      <c r="B530">
        <f t="shared" ref="B530:B534" si="74">B529</f>
        <v>24.58</v>
      </c>
      <c r="C530" s="1" t="s">
        <v>59</v>
      </c>
      <c r="D530" s="1" t="s">
        <v>62</v>
      </c>
      <c r="E530" s="1" t="s">
        <v>67</v>
      </c>
      <c r="F530" s="1" t="s">
        <v>53</v>
      </c>
      <c r="G530">
        <v>1286</v>
      </c>
      <c r="H530" s="4">
        <v>0.68999999999999795</v>
      </c>
      <c r="I530" s="4">
        <v>136</v>
      </c>
      <c r="J530" s="4">
        <v>16</v>
      </c>
      <c r="K530" s="4">
        <v>24.67</v>
      </c>
      <c r="L530" s="4">
        <v>69</v>
      </c>
      <c r="M530" s="4">
        <v>15</v>
      </c>
      <c r="N530" s="4">
        <v>39</v>
      </c>
      <c r="O530" s="4">
        <v>16</v>
      </c>
      <c r="P530" s="4">
        <v>5.0557907500819299</v>
      </c>
      <c r="Q530" s="4">
        <v>13.328287774122501</v>
      </c>
      <c r="R530" s="4">
        <v>14</v>
      </c>
      <c r="S530" s="7" t="s">
        <v>34</v>
      </c>
      <c r="T530" s="4">
        <v>406080</v>
      </c>
      <c r="U530" s="4">
        <v>710006</v>
      </c>
      <c r="V530" s="4">
        <v>596</v>
      </c>
      <c r="W530" s="4">
        <v>121100</v>
      </c>
      <c r="X530" s="4">
        <v>191506</v>
      </c>
      <c r="Y530" s="4">
        <v>518500</v>
      </c>
      <c r="Z530" s="4">
        <v>120000</v>
      </c>
      <c r="AA530" s="4">
        <v>1100</v>
      </c>
      <c r="AB530" s="4">
        <v>57393</v>
      </c>
      <c r="AC530" s="4">
        <v>344619</v>
      </c>
      <c r="AD530" s="4">
        <v>596</v>
      </c>
      <c r="AE530" s="4">
        <v>18839</v>
      </c>
      <c r="AF530" s="4">
        <v>421447</v>
      </c>
      <c r="AG530" s="6">
        <v>32482</v>
      </c>
      <c r="AH530" s="6">
        <v>32428</v>
      </c>
      <c r="AI530" s="6">
        <v>54</v>
      </c>
      <c r="AL530" s="4">
        <v>3364</v>
      </c>
      <c r="AM530" s="4">
        <v>26391</v>
      </c>
      <c r="AN530" s="4">
        <v>2162</v>
      </c>
      <c r="AV530" s="4">
        <v>751</v>
      </c>
      <c r="AW530" s="4">
        <v>809</v>
      </c>
    </row>
    <row r="531" spans="1:49" x14ac:dyDescent="0.2">
      <c r="A531" s="1">
        <v>44196</v>
      </c>
      <c r="B531">
        <f t="shared" si="74"/>
        <v>24.58</v>
      </c>
      <c r="C531" s="1" t="s">
        <v>59</v>
      </c>
      <c r="D531" s="1" t="s">
        <v>62</v>
      </c>
      <c r="E531" s="1" t="s">
        <v>67</v>
      </c>
      <c r="F531" s="1" t="s">
        <v>53</v>
      </c>
      <c r="G531">
        <v>1333</v>
      </c>
      <c r="H531" s="4">
        <v>7.61</v>
      </c>
      <c r="I531" s="4">
        <v>129</v>
      </c>
      <c r="J531" s="4">
        <v>27</v>
      </c>
      <c r="K531" s="4">
        <v>40.5</v>
      </c>
      <c r="L531" s="4">
        <v>88</v>
      </c>
      <c r="M531" s="4">
        <v>35</v>
      </c>
      <c r="N531" s="4">
        <v>93</v>
      </c>
      <c r="O531" s="4">
        <v>26</v>
      </c>
      <c r="P531" s="4">
        <v>11.1891732426591</v>
      </c>
      <c r="Q531" s="4">
        <v>29.3338701731108</v>
      </c>
      <c r="R531" s="4">
        <v>20</v>
      </c>
      <c r="S531" s="7" t="s">
        <v>34</v>
      </c>
      <c r="T531" s="4">
        <v>425813</v>
      </c>
      <c r="U531" s="4">
        <v>720746</v>
      </c>
      <c r="V531" s="4">
        <v>3064</v>
      </c>
      <c r="W531" s="4">
        <v>121100</v>
      </c>
      <c r="X531" s="4">
        <v>191696</v>
      </c>
      <c r="Y531" s="4">
        <v>529050</v>
      </c>
      <c r="Z531" s="4">
        <v>120000</v>
      </c>
      <c r="AA531" s="4">
        <v>1100</v>
      </c>
      <c r="AB531" s="4">
        <v>74950</v>
      </c>
      <c r="AC531" s="4">
        <v>403219</v>
      </c>
      <c r="AD531" s="4">
        <v>2974</v>
      </c>
      <c r="AE531" s="4">
        <v>90</v>
      </c>
      <c r="AF531" s="4">
        <v>481233</v>
      </c>
      <c r="AG531" s="6">
        <v>53945</v>
      </c>
      <c r="AH531" s="6">
        <v>53860</v>
      </c>
      <c r="AI531" s="6">
        <v>85</v>
      </c>
      <c r="AL531" s="4">
        <v>2924</v>
      </c>
      <c r="AM531" s="4">
        <v>26579</v>
      </c>
      <c r="AN531" s="4">
        <v>2122</v>
      </c>
      <c r="AV531" s="4">
        <v>758</v>
      </c>
      <c r="AW531" s="4">
        <v>824</v>
      </c>
    </row>
    <row r="532" spans="1:49" x14ac:dyDescent="0.2">
      <c r="A532" s="1">
        <v>44195</v>
      </c>
      <c r="B532">
        <f t="shared" si="74"/>
        <v>24.58</v>
      </c>
      <c r="C532" s="1" t="s">
        <v>59</v>
      </c>
      <c r="D532" s="1" t="s">
        <v>62</v>
      </c>
      <c r="E532" s="1" t="s">
        <v>67</v>
      </c>
      <c r="F532" s="1" t="s">
        <v>53</v>
      </c>
      <c r="G532">
        <v>1414</v>
      </c>
      <c r="H532" s="4">
        <v>1.55</v>
      </c>
      <c r="I532" s="4">
        <v>128</v>
      </c>
      <c r="J532" s="4">
        <v>29</v>
      </c>
      <c r="K532" s="4">
        <v>42.37</v>
      </c>
      <c r="L532" s="4">
        <v>102</v>
      </c>
      <c r="M532" s="4">
        <v>36</v>
      </c>
      <c r="N532" s="4">
        <v>86</v>
      </c>
      <c r="O532" s="4">
        <v>27</v>
      </c>
      <c r="P532" s="4">
        <v>12.324945562148701</v>
      </c>
      <c r="Q532" s="4">
        <v>30.650578279283899</v>
      </c>
      <c r="R532" s="4">
        <v>22</v>
      </c>
      <c r="S532" s="7" t="s">
        <v>34</v>
      </c>
      <c r="T532" s="4">
        <v>363405</v>
      </c>
      <c r="U532" s="4">
        <v>721514</v>
      </c>
      <c r="V532" s="4">
        <v>3090</v>
      </c>
      <c r="W532" s="4">
        <v>121100</v>
      </c>
      <c r="X532" s="4">
        <v>191964</v>
      </c>
      <c r="Y532" s="4">
        <v>529550</v>
      </c>
      <c r="Z532" s="4">
        <v>120000</v>
      </c>
      <c r="AA532" s="4">
        <v>1100</v>
      </c>
      <c r="AB532" s="4">
        <v>83458</v>
      </c>
      <c r="AC532" s="4">
        <v>317551</v>
      </c>
      <c r="AD532" s="4">
        <v>2448</v>
      </c>
      <c r="AE532" s="4">
        <v>19791</v>
      </c>
      <c r="AF532" s="4">
        <v>423248</v>
      </c>
      <c r="AG532" s="6">
        <v>72161</v>
      </c>
      <c r="AH532" s="6">
        <v>72010</v>
      </c>
      <c r="AI532" s="6">
        <v>151</v>
      </c>
      <c r="AL532" s="4">
        <v>3289</v>
      </c>
      <c r="AM532" s="4">
        <v>26552</v>
      </c>
      <c r="AN532" s="4">
        <v>2066</v>
      </c>
      <c r="AV532" s="4">
        <v>723</v>
      </c>
      <c r="AW532" s="4">
        <v>760</v>
      </c>
    </row>
    <row r="533" spans="1:49" x14ac:dyDescent="0.2">
      <c r="A533" s="1">
        <v>44194</v>
      </c>
      <c r="B533">
        <f t="shared" si="74"/>
        <v>24.58</v>
      </c>
      <c r="C533" s="1" t="s">
        <v>59</v>
      </c>
      <c r="D533" s="1" t="s">
        <v>62</v>
      </c>
      <c r="E533" s="1" t="s">
        <v>67</v>
      </c>
      <c r="F533" s="1" t="s">
        <v>53</v>
      </c>
      <c r="G533">
        <v>1545</v>
      </c>
      <c r="H533" s="4">
        <v>0.56000000000000205</v>
      </c>
      <c r="I533" s="4">
        <v>128</v>
      </c>
      <c r="J533" s="4">
        <v>28</v>
      </c>
      <c r="K533" s="4">
        <v>40.39</v>
      </c>
      <c r="L533" s="4">
        <v>89</v>
      </c>
      <c r="M533" s="4">
        <v>35</v>
      </c>
      <c r="N533" s="4">
        <v>79</v>
      </c>
      <c r="O533" s="4">
        <v>27</v>
      </c>
      <c r="P533" s="4">
        <v>12.0647939266167</v>
      </c>
      <c r="Q533" s="4">
        <v>29.9100095614609</v>
      </c>
      <c r="R533" s="4">
        <v>22</v>
      </c>
      <c r="S533" s="7" t="s">
        <v>34</v>
      </c>
      <c r="T533" s="4">
        <v>292684</v>
      </c>
      <c r="U533" s="4">
        <v>738114</v>
      </c>
      <c r="V533" s="4">
        <v>2670</v>
      </c>
      <c r="W533" s="4">
        <v>121100</v>
      </c>
      <c r="X533" s="4">
        <v>191964</v>
      </c>
      <c r="Y533" s="4">
        <v>546150</v>
      </c>
      <c r="Z533" s="4">
        <v>120000</v>
      </c>
      <c r="AA533" s="4">
        <v>1100</v>
      </c>
      <c r="AB533" s="4">
        <v>68758</v>
      </c>
      <c r="AC533" s="4">
        <v>257586</v>
      </c>
      <c r="AD533" s="4">
        <v>1959</v>
      </c>
      <c r="AE533" s="4">
        <v>21963</v>
      </c>
      <c r="AF533" s="4">
        <v>350266</v>
      </c>
      <c r="AG533" s="6">
        <v>83088</v>
      </c>
      <c r="AH533" s="6">
        <v>82928</v>
      </c>
      <c r="AI533" s="6">
        <v>160</v>
      </c>
      <c r="AL533" s="4">
        <v>3250</v>
      </c>
      <c r="AM533" s="4">
        <v>25550</v>
      </c>
      <c r="AN533" s="4">
        <v>1939</v>
      </c>
      <c r="AV533" s="4">
        <v>660</v>
      </c>
      <c r="AW533" s="4">
        <v>713</v>
      </c>
    </row>
    <row r="534" spans="1:49" x14ac:dyDescent="0.2">
      <c r="A534" s="1">
        <v>44193</v>
      </c>
      <c r="B534">
        <f t="shared" si="74"/>
        <v>24.58</v>
      </c>
      <c r="C534" s="1" t="s">
        <v>59</v>
      </c>
      <c r="D534" s="1" t="s">
        <v>62</v>
      </c>
      <c r="E534" s="1" t="s">
        <v>67</v>
      </c>
      <c r="F534" s="1" t="s">
        <v>53</v>
      </c>
      <c r="G534">
        <v>1729</v>
      </c>
      <c r="H534" s="4">
        <v>0.81999999999999296</v>
      </c>
      <c r="I534" s="4">
        <v>131</v>
      </c>
      <c r="J534" s="4">
        <v>20</v>
      </c>
      <c r="K534" s="4">
        <v>31.79</v>
      </c>
      <c r="L534" s="4">
        <v>96</v>
      </c>
      <c r="M534" s="4">
        <v>32</v>
      </c>
      <c r="N534" s="4">
        <v>69</v>
      </c>
      <c r="O534" s="4">
        <v>22</v>
      </c>
      <c r="P534" s="4">
        <v>8.8278064139174806</v>
      </c>
      <c r="Q534" s="4">
        <v>22.192083535053499</v>
      </c>
      <c r="R534" s="4">
        <v>20</v>
      </c>
      <c r="S534" s="7" t="s">
        <v>34</v>
      </c>
      <c r="T534" s="4">
        <v>333443</v>
      </c>
      <c r="U534" s="4">
        <v>755406</v>
      </c>
      <c r="V534" s="4">
        <v>642</v>
      </c>
      <c r="W534" s="4">
        <v>121100</v>
      </c>
      <c r="X534" s="4">
        <v>191306</v>
      </c>
      <c r="Y534" s="4">
        <v>564100</v>
      </c>
      <c r="Z534" s="4">
        <v>120000</v>
      </c>
      <c r="AA534" s="4">
        <v>1100</v>
      </c>
      <c r="AB534" s="4">
        <v>61426</v>
      </c>
      <c r="AC534" s="4">
        <v>293247</v>
      </c>
      <c r="AD534" s="4">
        <v>642</v>
      </c>
      <c r="AE534" s="4">
        <v>6098</v>
      </c>
      <c r="AF534" s="4">
        <v>361413</v>
      </c>
      <c r="AG534" s="6">
        <v>46407</v>
      </c>
      <c r="AH534" s="6">
        <v>46344</v>
      </c>
      <c r="AI534" s="6">
        <v>63</v>
      </c>
      <c r="AL534" s="4">
        <v>3131</v>
      </c>
      <c r="AM534" s="4">
        <v>24050</v>
      </c>
      <c r="AN534" s="4">
        <v>1847</v>
      </c>
      <c r="AV534" s="4">
        <v>680</v>
      </c>
      <c r="AW534" s="4">
        <v>723</v>
      </c>
    </row>
    <row r="535" spans="1:49" x14ac:dyDescent="0.2">
      <c r="A535" s="1">
        <v>44192</v>
      </c>
      <c r="B535">
        <v>40.229999999999997</v>
      </c>
      <c r="C535" s="1" t="s">
        <v>59</v>
      </c>
      <c r="D535" s="1" t="s">
        <v>62</v>
      </c>
      <c r="E535" s="1" t="s">
        <v>67</v>
      </c>
      <c r="F535" s="1" t="s">
        <v>53</v>
      </c>
      <c r="G535">
        <v>1885</v>
      </c>
      <c r="H535" s="4">
        <v>1.58</v>
      </c>
      <c r="I535" s="4">
        <v>112</v>
      </c>
      <c r="J535" s="4">
        <v>65</v>
      </c>
      <c r="K535" s="4">
        <v>31.41</v>
      </c>
      <c r="L535" s="4">
        <v>92</v>
      </c>
      <c r="M535" s="4">
        <v>29</v>
      </c>
      <c r="N535" s="4">
        <v>68</v>
      </c>
      <c r="O535" s="4">
        <v>32</v>
      </c>
      <c r="P535" s="4">
        <v>15.6537727524574</v>
      </c>
      <c r="Q535" s="4">
        <v>35.394859632055002</v>
      </c>
      <c r="R535" s="4">
        <v>20</v>
      </c>
      <c r="S535" s="7" t="s">
        <v>34</v>
      </c>
      <c r="T535" s="4">
        <v>333972</v>
      </c>
      <c r="U535" s="4">
        <v>748622</v>
      </c>
      <c r="V535" s="4">
        <v>588</v>
      </c>
      <c r="W535" s="4">
        <v>121100</v>
      </c>
      <c r="X535" s="4">
        <v>191122</v>
      </c>
      <c r="Y535" s="4">
        <v>557500</v>
      </c>
      <c r="Z535" s="4">
        <v>120000</v>
      </c>
      <c r="AA535" s="4">
        <v>1100</v>
      </c>
      <c r="AB535" s="4">
        <v>54005</v>
      </c>
      <c r="AC535" s="4">
        <v>299641</v>
      </c>
      <c r="AD535" s="4">
        <v>588</v>
      </c>
      <c r="AE535" s="4">
        <v>0</v>
      </c>
      <c r="AF535" s="4">
        <v>354234</v>
      </c>
      <c r="AG535" s="6">
        <v>48519</v>
      </c>
      <c r="AH535" s="6">
        <v>48457</v>
      </c>
      <c r="AI535" s="6">
        <v>62</v>
      </c>
      <c r="AL535" s="4">
        <v>2871</v>
      </c>
      <c r="AM535" s="4">
        <v>22765</v>
      </c>
      <c r="AN535" s="4">
        <v>1751</v>
      </c>
      <c r="AV535" s="4">
        <v>660</v>
      </c>
      <c r="AW535" s="4">
        <v>718</v>
      </c>
    </row>
    <row r="536" spans="1:49" x14ac:dyDescent="0.2">
      <c r="A536" s="1">
        <v>44191</v>
      </c>
      <c r="B536">
        <f>B535</f>
        <v>40.229999999999997</v>
      </c>
      <c r="C536" s="1" t="s">
        <v>59</v>
      </c>
      <c r="D536" s="1" t="s">
        <v>62</v>
      </c>
      <c r="E536" s="1" t="s">
        <v>67</v>
      </c>
      <c r="F536" s="1" t="s">
        <v>53</v>
      </c>
      <c r="G536">
        <v>2023</v>
      </c>
      <c r="H536" s="4">
        <v>0.87000000000000499</v>
      </c>
      <c r="I536" s="4">
        <v>120</v>
      </c>
      <c r="J536" s="4">
        <v>44</v>
      </c>
      <c r="K536" s="4">
        <v>23.8</v>
      </c>
      <c r="L536" s="4">
        <v>58</v>
      </c>
      <c r="M536" s="4">
        <v>15</v>
      </c>
      <c r="N536" s="4">
        <v>42</v>
      </c>
      <c r="O536" s="4">
        <v>21</v>
      </c>
      <c r="P536" s="4">
        <v>7.4138257669323098</v>
      </c>
      <c r="Q536" s="4">
        <v>21.340230788705799</v>
      </c>
      <c r="R536" s="4">
        <v>14</v>
      </c>
      <c r="S536" s="7" t="s">
        <v>34</v>
      </c>
      <c r="T536" s="4">
        <v>264257</v>
      </c>
      <c r="U536" s="4">
        <v>719216</v>
      </c>
      <c r="V536" s="4">
        <v>735</v>
      </c>
      <c r="W536" s="4">
        <v>121100</v>
      </c>
      <c r="X536" s="4">
        <v>191216</v>
      </c>
      <c r="Y536" s="4">
        <v>528000</v>
      </c>
      <c r="Z536" s="4">
        <v>120000</v>
      </c>
      <c r="AA536" s="4">
        <v>1100</v>
      </c>
      <c r="AB536" s="4">
        <v>46426</v>
      </c>
      <c r="AC536" s="4">
        <v>224044</v>
      </c>
      <c r="AD536" s="4">
        <v>735</v>
      </c>
      <c r="AE536" s="4">
        <v>0</v>
      </c>
      <c r="AF536" s="4">
        <v>271205</v>
      </c>
      <c r="AG536" s="6">
        <v>41109</v>
      </c>
      <c r="AH536" s="6">
        <v>41062</v>
      </c>
      <c r="AI536" s="6">
        <v>47</v>
      </c>
      <c r="AL536" s="4">
        <v>2531</v>
      </c>
      <c r="AM536" s="4">
        <v>21731</v>
      </c>
      <c r="AN536" s="4">
        <v>1682</v>
      </c>
      <c r="AV536" s="4">
        <v>658</v>
      </c>
      <c r="AW536" s="4">
        <v>692</v>
      </c>
    </row>
    <row r="537" spans="1:49" x14ac:dyDescent="0.2">
      <c r="A537" s="1">
        <v>44190</v>
      </c>
      <c r="B537">
        <f t="shared" ref="B537:B541" si="75">B536</f>
        <v>40.229999999999997</v>
      </c>
      <c r="C537" s="1" t="s">
        <v>59</v>
      </c>
      <c r="D537" s="1" t="s">
        <v>62</v>
      </c>
      <c r="E537" s="1" t="s">
        <v>67</v>
      </c>
      <c r="F537" s="1" t="s">
        <v>53</v>
      </c>
      <c r="G537">
        <v>2010</v>
      </c>
      <c r="H537" s="4">
        <v>1.08</v>
      </c>
      <c r="I537" s="4">
        <v>137</v>
      </c>
      <c r="J537" s="4">
        <v>12</v>
      </c>
      <c r="K537" s="4">
        <v>16.04</v>
      </c>
      <c r="L537" s="4">
        <v>73</v>
      </c>
      <c r="M537" s="4">
        <v>8</v>
      </c>
      <c r="N537" s="4">
        <v>16</v>
      </c>
      <c r="O537" s="4">
        <v>8</v>
      </c>
      <c r="P537" s="4">
        <v>1.19896953364461E-4</v>
      </c>
      <c r="Q537" s="4">
        <v>3.4036653140575601E-3</v>
      </c>
      <c r="R537" s="4">
        <v>6</v>
      </c>
      <c r="S537" s="7" t="s">
        <v>34</v>
      </c>
      <c r="T537" s="4">
        <v>332324</v>
      </c>
      <c r="U537" s="4">
        <v>700306</v>
      </c>
      <c r="V537" s="4">
        <v>588</v>
      </c>
      <c r="W537" s="4">
        <v>121100</v>
      </c>
      <c r="X537" s="4">
        <v>191306</v>
      </c>
      <c r="Y537" s="4">
        <v>509000</v>
      </c>
      <c r="Z537" s="4">
        <v>120000</v>
      </c>
      <c r="AA537" s="4">
        <v>1100</v>
      </c>
      <c r="AB537" s="4">
        <v>42290</v>
      </c>
      <c r="AC537" s="4">
        <v>294624</v>
      </c>
      <c r="AD537" s="4">
        <v>588</v>
      </c>
      <c r="AE537" s="4">
        <v>0</v>
      </c>
      <c r="AF537" s="4">
        <v>337502</v>
      </c>
      <c r="AG537" s="6">
        <v>14419</v>
      </c>
      <c r="AH537" s="6">
        <v>14395</v>
      </c>
      <c r="AI537" s="6">
        <v>24</v>
      </c>
      <c r="AL537" s="4">
        <v>2184</v>
      </c>
      <c r="AM537" s="4">
        <v>20919</v>
      </c>
      <c r="AN537" s="4">
        <v>1616</v>
      </c>
      <c r="AV537" s="4">
        <v>615</v>
      </c>
      <c r="AW537" s="4">
        <v>655</v>
      </c>
    </row>
    <row r="538" spans="1:49" x14ac:dyDescent="0.2">
      <c r="A538" s="1">
        <v>44189</v>
      </c>
      <c r="B538">
        <f t="shared" si="75"/>
        <v>40.229999999999997</v>
      </c>
      <c r="C538" s="1" t="s">
        <v>59</v>
      </c>
      <c r="D538" s="1" t="s">
        <v>62</v>
      </c>
      <c r="E538" s="1" t="s">
        <v>67</v>
      </c>
      <c r="F538" s="1" t="s">
        <v>53</v>
      </c>
      <c r="G538">
        <v>2016</v>
      </c>
      <c r="H538" s="4">
        <v>10.54</v>
      </c>
      <c r="I538" s="4">
        <v>127</v>
      </c>
      <c r="J538" s="4">
        <v>28</v>
      </c>
      <c r="K538" s="4">
        <v>35.159999999999997</v>
      </c>
      <c r="L538" s="4">
        <v>94</v>
      </c>
      <c r="M538" s="4">
        <v>39</v>
      </c>
      <c r="N538" s="4">
        <v>103</v>
      </c>
      <c r="O538" s="4">
        <v>28</v>
      </c>
      <c r="P538" s="4">
        <v>11.1802617732044</v>
      </c>
      <c r="Q538" s="4">
        <v>32.403380601497602</v>
      </c>
      <c r="R538" s="4">
        <v>19</v>
      </c>
      <c r="S538" s="7" t="s">
        <v>34</v>
      </c>
      <c r="T538" s="4">
        <v>423659</v>
      </c>
      <c r="U538" s="4">
        <v>719971</v>
      </c>
      <c r="V538" s="4">
        <v>3150</v>
      </c>
      <c r="W538" s="4">
        <v>121100</v>
      </c>
      <c r="X538" s="4">
        <v>191871</v>
      </c>
      <c r="Y538" s="4">
        <v>528100</v>
      </c>
      <c r="Z538" s="4">
        <v>120000</v>
      </c>
      <c r="AA538" s="4">
        <v>1100</v>
      </c>
      <c r="AB538" s="4">
        <v>74718</v>
      </c>
      <c r="AC538" s="4">
        <v>383905</v>
      </c>
      <c r="AD538" s="4">
        <v>3078</v>
      </c>
      <c r="AE538" s="4">
        <v>72</v>
      </c>
      <c r="AF538" s="4">
        <v>461773</v>
      </c>
      <c r="AG538" s="6">
        <v>32391</v>
      </c>
      <c r="AH538" s="6">
        <v>32337</v>
      </c>
      <c r="AI538" s="6">
        <v>54</v>
      </c>
      <c r="AL538" s="4">
        <v>2085</v>
      </c>
      <c r="AM538" s="4">
        <v>21578</v>
      </c>
      <c r="AN538" s="4">
        <v>1607</v>
      </c>
      <c r="AV538" s="4">
        <v>585</v>
      </c>
      <c r="AW538" s="4">
        <v>616</v>
      </c>
    </row>
    <row r="539" spans="1:49" x14ac:dyDescent="0.2">
      <c r="A539" s="1">
        <v>44188</v>
      </c>
      <c r="B539">
        <f t="shared" si="75"/>
        <v>40.229999999999997</v>
      </c>
      <c r="C539" s="1" t="s">
        <v>59</v>
      </c>
      <c r="D539" s="1" t="s">
        <v>62</v>
      </c>
      <c r="E539" s="1" t="s">
        <v>67</v>
      </c>
      <c r="F539" s="1" t="s">
        <v>53</v>
      </c>
      <c r="G539">
        <v>1981</v>
      </c>
      <c r="H539" s="4">
        <v>4.66</v>
      </c>
      <c r="I539" s="4">
        <v>125</v>
      </c>
      <c r="J539" s="4">
        <v>35</v>
      </c>
      <c r="K539" s="4">
        <v>42.38</v>
      </c>
      <c r="L539" s="4">
        <v>79</v>
      </c>
      <c r="M539" s="4">
        <v>41</v>
      </c>
      <c r="N539" s="4">
        <v>104</v>
      </c>
      <c r="O539" s="4">
        <v>32</v>
      </c>
      <c r="P539" s="4">
        <v>14.906984980029099</v>
      </c>
      <c r="Q539" s="4">
        <v>37.077252162874899</v>
      </c>
      <c r="R539" s="4">
        <v>21</v>
      </c>
      <c r="S539" s="7" t="s">
        <v>34</v>
      </c>
      <c r="T539" s="4">
        <v>461050</v>
      </c>
      <c r="U539" s="4">
        <v>711264</v>
      </c>
      <c r="V539" s="4">
        <v>3351</v>
      </c>
      <c r="W539" s="4">
        <v>121100</v>
      </c>
      <c r="X539" s="4">
        <v>191964</v>
      </c>
      <c r="Y539" s="4">
        <v>519300</v>
      </c>
      <c r="Z539" s="4">
        <v>120000</v>
      </c>
      <c r="AA539" s="4">
        <v>1100</v>
      </c>
      <c r="AB539" s="4">
        <v>86366</v>
      </c>
      <c r="AC539" s="4">
        <v>403973</v>
      </c>
      <c r="AD539" s="4">
        <v>3105</v>
      </c>
      <c r="AE539" s="4">
        <v>18045</v>
      </c>
      <c r="AF539" s="4">
        <v>511489</v>
      </c>
      <c r="AG539" s="6">
        <v>42936</v>
      </c>
      <c r="AH539" s="6">
        <v>42862</v>
      </c>
      <c r="AI539" s="6">
        <v>74</v>
      </c>
      <c r="AL539" s="4">
        <v>2278</v>
      </c>
      <c r="AM539" s="4">
        <v>21223</v>
      </c>
      <c r="AN539" s="4">
        <v>1554</v>
      </c>
      <c r="AV539" s="4">
        <v>566</v>
      </c>
      <c r="AW539" s="4">
        <v>629</v>
      </c>
    </row>
    <row r="540" spans="1:49" x14ac:dyDescent="0.2">
      <c r="A540" s="1">
        <v>44187</v>
      </c>
      <c r="B540">
        <f t="shared" si="75"/>
        <v>40.229999999999997</v>
      </c>
      <c r="C540" s="1" t="s">
        <v>59</v>
      </c>
      <c r="D540" s="1" t="s">
        <v>62</v>
      </c>
      <c r="E540" s="1" t="s">
        <v>67</v>
      </c>
      <c r="F540" s="1" t="s">
        <v>53</v>
      </c>
      <c r="G540">
        <v>1882</v>
      </c>
      <c r="H540" s="4">
        <v>2.09</v>
      </c>
      <c r="I540" s="4">
        <v>124</v>
      </c>
      <c r="J540" s="4">
        <v>35</v>
      </c>
      <c r="K540" s="4">
        <v>43.99</v>
      </c>
      <c r="L540" s="4">
        <v>89</v>
      </c>
      <c r="M540" s="4">
        <v>42</v>
      </c>
      <c r="N540" s="4">
        <v>97</v>
      </c>
      <c r="O540" s="4">
        <v>33</v>
      </c>
      <c r="P540" s="4">
        <v>15.8573144281639</v>
      </c>
      <c r="Q540" s="4">
        <v>37.258036152299397</v>
      </c>
      <c r="R540" s="4">
        <v>22</v>
      </c>
      <c r="S540" s="7" t="s">
        <v>34</v>
      </c>
      <c r="T540" s="4">
        <v>417367</v>
      </c>
      <c r="U540" s="4">
        <v>715114</v>
      </c>
      <c r="V540" s="4">
        <v>2349</v>
      </c>
      <c r="W540" s="4">
        <v>121100</v>
      </c>
      <c r="X540" s="4">
        <v>188964</v>
      </c>
      <c r="Y540" s="4">
        <v>526150</v>
      </c>
      <c r="Z540" s="4">
        <v>120000</v>
      </c>
      <c r="AA540" s="4">
        <v>1100</v>
      </c>
      <c r="AB540" s="4">
        <v>92192</v>
      </c>
      <c r="AC540" s="4">
        <v>347583</v>
      </c>
      <c r="AD540" s="4">
        <v>2349</v>
      </c>
      <c r="AE540" s="4">
        <v>14962</v>
      </c>
      <c r="AF540" s="4">
        <v>457086</v>
      </c>
      <c r="AG540" s="6">
        <v>46475</v>
      </c>
      <c r="AH540" s="6">
        <v>46374</v>
      </c>
      <c r="AI540" s="6">
        <v>101</v>
      </c>
      <c r="AL540" s="4">
        <v>2481</v>
      </c>
      <c r="AM540" s="4">
        <v>21489</v>
      </c>
      <c r="AN540" s="4">
        <v>1529</v>
      </c>
      <c r="AV540" s="4">
        <v>564</v>
      </c>
      <c r="AW540" s="4">
        <v>629</v>
      </c>
    </row>
    <row r="541" spans="1:49" x14ac:dyDescent="0.2">
      <c r="A541" s="1">
        <v>44186</v>
      </c>
      <c r="B541">
        <f t="shared" si="75"/>
        <v>40.229999999999997</v>
      </c>
      <c r="C541" s="1" t="s">
        <v>59</v>
      </c>
      <c r="D541" s="1" t="s">
        <v>62</v>
      </c>
      <c r="E541" s="1" t="s">
        <v>67</v>
      </c>
      <c r="F541" s="1" t="s">
        <v>53</v>
      </c>
      <c r="G541">
        <v>1773</v>
      </c>
      <c r="H541" s="4">
        <v>1.22</v>
      </c>
      <c r="I541" s="4">
        <v>123</v>
      </c>
      <c r="J541" s="4">
        <v>37</v>
      </c>
      <c r="K541" s="4">
        <v>42</v>
      </c>
      <c r="L541" s="4">
        <v>81</v>
      </c>
      <c r="M541" s="4">
        <v>42</v>
      </c>
      <c r="N541" s="4">
        <v>95</v>
      </c>
      <c r="O541" s="4">
        <v>34</v>
      </c>
      <c r="P541" s="4">
        <v>17.563998721279798</v>
      </c>
      <c r="Q541" s="4">
        <v>37.035307055644999</v>
      </c>
      <c r="R541" s="4">
        <v>23</v>
      </c>
      <c r="S541" s="7" t="s">
        <v>34</v>
      </c>
      <c r="T541" s="4">
        <v>398332</v>
      </c>
      <c r="U541" s="4">
        <v>682894</v>
      </c>
      <c r="V541" s="4">
        <v>2457</v>
      </c>
      <c r="W541" s="4">
        <v>121100</v>
      </c>
      <c r="X541" s="4">
        <v>188494</v>
      </c>
      <c r="Y541" s="4">
        <v>494400</v>
      </c>
      <c r="Z541" s="4">
        <v>120000</v>
      </c>
      <c r="AA541" s="4">
        <v>1100</v>
      </c>
      <c r="AB541" s="4">
        <v>73963</v>
      </c>
      <c r="AC541" s="4">
        <v>335252</v>
      </c>
      <c r="AD541" s="4">
        <v>2457</v>
      </c>
      <c r="AE541" s="4">
        <v>19745</v>
      </c>
      <c r="AF541" s="4">
        <v>431417</v>
      </c>
      <c r="AG541" s="6">
        <v>48192</v>
      </c>
      <c r="AH541" s="6">
        <v>48117</v>
      </c>
      <c r="AI541" s="6">
        <v>75</v>
      </c>
      <c r="AL541" s="4">
        <v>2370</v>
      </c>
      <c r="AM541" s="4">
        <v>21134</v>
      </c>
      <c r="AN541" s="4">
        <v>1512</v>
      </c>
      <c r="AV541" s="4">
        <v>577</v>
      </c>
      <c r="AW541" s="4">
        <v>602</v>
      </c>
    </row>
    <row r="542" spans="1:49" x14ac:dyDescent="0.2">
      <c r="A542" s="1">
        <v>44185</v>
      </c>
      <c r="B542">
        <v>10.87</v>
      </c>
      <c r="C542" s="1" t="s">
        <v>59</v>
      </c>
      <c r="D542" s="1" t="s">
        <v>62</v>
      </c>
      <c r="E542" s="1" t="s">
        <v>67</v>
      </c>
      <c r="F542" s="1" t="s">
        <v>53</v>
      </c>
      <c r="G542">
        <v>1689</v>
      </c>
      <c r="H542" s="4">
        <v>3.76000000000001</v>
      </c>
      <c r="I542" s="4">
        <v>110</v>
      </c>
      <c r="J542" s="4">
        <v>72</v>
      </c>
      <c r="K542" s="4">
        <v>35.909999999999997</v>
      </c>
      <c r="L542" s="4">
        <v>94</v>
      </c>
      <c r="M542" s="4">
        <v>35</v>
      </c>
      <c r="N542" s="4">
        <v>82</v>
      </c>
      <c r="O542" s="4">
        <v>41</v>
      </c>
      <c r="P542" s="4">
        <v>21.4070988351015</v>
      </c>
      <c r="Q542" s="4">
        <v>45.299211658432597</v>
      </c>
      <c r="R542" s="4">
        <v>24</v>
      </c>
      <c r="S542" s="7" t="s">
        <v>34</v>
      </c>
      <c r="T542" s="4">
        <v>415113</v>
      </c>
      <c r="U542" s="4">
        <v>663550</v>
      </c>
      <c r="V542" s="4">
        <v>480</v>
      </c>
      <c r="W542" s="4">
        <v>121100</v>
      </c>
      <c r="X542" s="4">
        <v>188050</v>
      </c>
      <c r="Y542" s="4">
        <v>475500</v>
      </c>
      <c r="Z542" s="4">
        <v>120000</v>
      </c>
      <c r="AA542" s="4">
        <v>1100</v>
      </c>
      <c r="AB542" s="4">
        <v>68395</v>
      </c>
      <c r="AC542" s="4">
        <v>337258</v>
      </c>
      <c r="AD542" s="4">
        <v>480</v>
      </c>
      <c r="AE542" s="4">
        <v>27462</v>
      </c>
      <c r="AF542" s="4">
        <v>433595</v>
      </c>
      <c r="AG542" s="6">
        <v>33064</v>
      </c>
      <c r="AH542" s="6">
        <v>33020</v>
      </c>
      <c r="AI542" s="6">
        <v>44</v>
      </c>
      <c r="AL542" s="4">
        <v>2169</v>
      </c>
      <c r="AM542" s="4">
        <v>20005</v>
      </c>
      <c r="AN542" s="4">
        <v>1442</v>
      </c>
      <c r="AV542" s="4">
        <v>506</v>
      </c>
      <c r="AW542" s="4">
        <v>551</v>
      </c>
    </row>
    <row r="543" spans="1:49" x14ac:dyDescent="0.2">
      <c r="A543" s="1">
        <v>44184</v>
      </c>
      <c r="B543">
        <f>B542</f>
        <v>10.87</v>
      </c>
      <c r="C543" s="1" t="s">
        <v>59</v>
      </c>
      <c r="D543" s="1" t="s">
        <v>62</v>
      </c>
      <c r="E543" s="1" t="s">
        <v>67</v>
      </c>
      <c r="F543" s="1" t="s">
        <v>53</v>
      </c>
      <c r="G543">
        <v>1611</v>
      </c>
      <c r="H543" s="4">
        <v>6.2</v>
      </c>
      <c r="I543" s="4">
        <v>111</v>
      </c>
      <c r="J543" s="4">
        <v>78</v>
      </c>
      <c r="K543" s="4">
        <v>59.2</v>
      </c>
      <c r="L543" s="4">
        <v>70</v>
      </c>
      <c r="M543" s="4">
        <v>47</v>
      </c>
      <c r="N543" s="4">
        <v>90</v>
      </c>
      <c r="O543" s="4">
        <v>49</v>
      </c>
      <c r="P543" s="4">
        <v>30.498463579333901</v>
      </c>
      <c r="Q543" s="4">
        <v>52.179187235293099</v>
      </c>
      <c r="R543" s="4">
        <v>32</v>
      </c>
      <c r="S543" s="7" t="s">
        <v>34</v>
      </c>
      <c r="T543" s="4">
        <v>418907</v>
      </c>
      <c r="U543" s="4">
        <v>646636</v>
      </c>
      <c r="V543" s="4">
        <v>1662</v>
      </c>
      <c r="W543" s="4">
        <v>121100</v>
      </c>
      <c r="X543" s="4">
        <v>181336</v>
      </c>
      <c r="Y543" s="4">
        <v>465300</v>
      </c>
      <c r="Z543" s="4">
        <v>120000</v>
      </c>
      <c r="AA543" s="4">
        <v>1100</v>
      </c>
      <c r="AB543" s="4">
        <v>80546</v>
      </c>
      <c r="AC543" s="4">
        <v>344498</v>
      </c>
      <c r="AD543" s="4">
        <v>1662</v>
      </c>
      <c r="AE543" s="4">
        <v>10991</v>
      </c>
      <c r="AF543" s="4">
        <v>437697</v>
      </c>
      <c r="AG543" s="6">
        <v>25589</v>
      </c>
      <c r="AH543" s="6">
        <v>25552</v>
      </c>
      <c r="AI543" s="6">
        <v>37</v>
      </c>
      <c r="AL543" s="4">
        <v>2044</v>
      </c>
      <c r="AM543" s="4">
        <v>19464</v>
      </c>
      <c r="AN543" s="4">
        <v>1412</v>
      </c>
      <c r="AV543" s="4">
        <v>491</v>
      </c>
      <c r="AW543" s="4">
        <v>548</v>
      </c>
    </row>
    <row r="544" spans="1:49" x14ac:dyDescent="0.2">
      <c r="A544" s="1">
        <v>44183</v>
      </c>
      <c r="B544">
        <f t="shared" ref="B544:B548" si="76">B543</f>
        <v>10.87</v>
      </c>
      <c r="C544" s="1" t="s">
        <v>59</v>
      </c>
      <c r="D544" s="1" t="s">
        <v>62</v>
      </c>
      <c r="E544" s="1" t="s">
        <v>67</v>
      </c>
      <c r="F544" s="1" t="s">
        <v>53</v>
      </c>
      <c r="G544">
        <v>1591</v>
      </c>
      <c r="H544" s="4">
        <v>6.17</v>
      </c>
      <c r="I544" s="4">
        <v>120</v>
      </c>
      <c r="J544" s="4">
        <v>48</v>
      </c>
      <c r="K544" s="4">
        <v>63.41</v>
      </c>
      <c r="L544" s="4">
        <v>74</v>
      </c>
      <c r="M544" s="4">
        <v>47</v>
      </c>
      <c r="N544" s="4">
        <v>91</v>
      </c>
      <c r="O544" s="4">
        <v>44</v>
      </c>
      <c r="P544" s="4">
        <v>28.137584871306501</v>
      </c>
      <c r="Q544" s="4">
        <v>48.544632046520398</v>
      </c>
      <c r="R544" s="4">
        <v>34</v>
      </c>
      <c r="S544" s="7" t="s">
        <v>34</v>
      </c>
      <c r="T544" s="4">
        <v>364064</v>
      </c>
      <c r="U544" s="4">
        <v>572780</v>
      </c>
      <c r="V544" s="4">
        <v>4022</v>
      </c>
      <c r="W544" s="4">
        <v>121100</v>
      </c>
      <c r="X544" s="4">
        <v>181780</v>
      </c>
      <c r="Y544" s="4">
        <v>391000</v>
      </c>
      <c r="Z544" s="4">
        <v>120000</v>
      </c>
      <c r="AA544" s="4">
        <v>1100</v>
      </c>
      <c r="AB544" s="4">
        <v>87861</v>
      </c>
      <c r="AC544" s="4">
        <v>286039</v>
      </c>
      <c r="AD544" s="4">
        <v>2718</v>
      </c>
      <c r="AE544" s="4">
        <v>18843</v>
      </c>
      <c r="AF544" s="4">
        <v>395461</v>
      </c>
      <c r="AG544" s="6">
        <v>36417</v>
      </c>
      <c r="AH544" s="6">
        <v>36358</v>
      </c>
      <c r="AI544" s="6">
        <v>59</v>
      </c>
      <c r="AL544" s="4">
        <v>1923</v>
      </c>
      <c r="AM544" s="4">
        <v>19118</v>
      </c>
      <c r="AN544" s="4">
        <v>1364</v>
      </c>
      <c r="AV544" s="4">
        <v>516</v>
      </c>
      <c r="AW544" s="4">
        <v>586</v>
      </c>
    </row>
    <row r="545" spans="1:49" x14ac:dyDescent="0.2">
      <c r="A545" s="1">
        <v>44182</v>
      </c>
      <c r="B545">
        <f t="shared" si="76"/>
        <v>10.87</v>
      </c>
      <c r="C545" s="1" t="s">
        <v>59</v>
      </c>
      <c r="D545" s="1" t="s">
        <v>62</v>
      </c>
      <c r="E545" s="1" t="s">
        <v>67</v>
      </c>
      <c r="F545" s="1" t="s">
        <v>53</v>
      </c>
      <c r="G545">
        <v>1560</v>
      </c>
      <c r="H545" s="4">
        <v>4.6500000000000101</v>
      </c>
      <c r="I545" s="4">
        <v>119</v>
      </c>
      <c r="J545" s="4">
        <v>50</v>
      </c>
      <c r="K545" s="4">
        <v>61.61</v>
      </c>
      <c r="L545" s="4">
        <v>102</v>
      </c>
      <c r="M545" s="4">
        <v>51</v>
      </c>
      <c r="N545" s="4">
        <v>94</v>
      </c>
      <c r="O545" s="4">
        <v>44</v>
      </c>
      <c r="P545" s="4">
        <v>29.139318535329799</v>
      </c>
      <c r="Q545" s="4">
        <v>52.793697538103899</v>
      </c>
      <c r="R545" s="4">
        <v>35</v>
      </c>
      <c r="S545" s="7" t="s">
        <v>34</v>
      </c>
      <c r="T545" s="4">
        <v>353056</v>
      </c>
      <c r="U545" s="4">
        <v>584280</v>
      </c>
      <c r="V545" s="4">
        <v>3094</v>
      </c>
      <c r="W545" s="4">
        <v>121100</v>
      </c>
      <c r="X545" s="4">
        <v>181780</v>
      </c>
      <c r="Y545" s="4">
        <v>402500</v>
      </c>
      <c r="Z545" s="4">
        <v>120000</v>
      </c>
      <c r="AA545" s="4">
        <v>1100</v>
      </c>
      <c r="AB545" s="4">
        <v>90144</v>
      </c>
      <c r="AC545" s="4">
        <v>272784</v>
      </c>
      <c r="AD545" s="4">
        <v>2651</v>
      </c>
      <c r="AE545" s="4">
        <v>11325</v>
      </c>
      <c r="AF545" s="4">
        <v>376904</v>
      </c>
      <c r="AG545" s="6">
        <v>34440</v>
      </c>
      <c r="AH545" s="6">
        <v>34379</v>
      </c>
      <c r="AI545" s="6">
        <v>61</v>
      </c>
      <c r="AL545" s="4">
        <v>2143</v>
      </c>
      <c r="AM545" s="4">
        <v>18971</v>
      </c>
      <c r="AN545" s="4">
        <v>1366</v>
      </c>
      <c r="AV545" s="4">
        <v>539</v>
      </c>
      <c r="AW545" s="4">
        <v>567</v>
      </c>
    </row>
    <row r="546" spans="1:49" x14ac:dyDescent="0.2">
      <c r="A546" s="1">
        <v>44181</v>
      </c>
      <c r="B546">
        <f t="shared" si="76"/>
        <v>10.87</v>
      </c>
      <c r="C546" s="1" t="s">
        <v>59</v>
      </c>
      <c r="D546" s="1" t="s">
        <v>62</v>
      </c>
      <c r="E546" s="1" t="s">
        <v>67</v>
      </c>
      <c r="F546" s="1" t="s">
        <v>53</v>
      </c>
      <c r="G546">
        <v>1527</v>
      </c>
      <c r="H546" s="4">
        <v>4.5400000000000098</v>
      </c>
      <c r="I546" s="4">
        <v>119</v>
      </c>
      <c r="J546" s="4">
        <v>52</v>
      </c>
      <c r="K546" s="4">
        <v>56.48</v>
      </c>
      <c r="L546" s="4">
        <v>81</v>
      </c>
      <c r="M546" s="4">
        <v>49</v>
      </c>
      <c r="N546" s="4">
        <v>88</v>
      </c>
      <c r="O546" s="4">
        <v>44</v>
      </c>
      <c r="P546" s="4">
        <v>29.309957935732999</v>
      </c>
      <c r="Q546" s="4">
        <v>52.734547139702997</v>
      </c>
      <c r="R546" s="4">
        <v>36</v>
      </c>
      <c r="S546" s="7" t="s">
        <v>34</v>
      </c>
      <c r="T546" s="4">
        <v>345764</v>
      </c>
      <c r="U546" s="4">
        <v>549480</v>
      </c>
      <c r="V546" s="4">
        <v>4154</v>
      </c>
      <c r="W546" s="4">
        <v>121100</v>
      </c>
      <c r="X546" s="4">
        <v>181780</v>
      </c>
      <c r="Y546" s="4">
        <v>367700</v>
      </c>
      <c r="Z546" s="4">
        <v>120000</v>
      </c>
      <c r="AA546" s="4">
        <v>1100</v>
      </c>
      <c r="AB546" s="4">
        <v>93018</v>
      </c>
      <c r="AC546" s="4">
        <v>255332</v>
      </c>
      <c r="AD546" s="4">
        <v>3549</v>
      </c>
      <c r="AE546" s="4">
        <v>15981</v>
      </c>
      <c r="AF546" s="4">
        <v>367880</v>
      </c>
      <c r="AG546" s="6">
        <v>35438</v>
      </c>
      <c r="AH546" s="6">
        <v>35378</v>
      </c>
      <c r="AI546" s="6">
        <v>60</v>
      </c>
      <c r="AL546" s="4">
        <v>2078</v>
      </c>
      <c r="AM546" s="4">
        <v>18672</v>
      </c>
      <c r="AN546" s="4">
        <v>1340</v>
      </c>
      <c r="AV546" s="4">
        <v>432</v>
      </c>
      <c r="AW546" s="4">
        <v>484</v>
      </c>
    </row>
    <row r="547" spans="1:49" x14ac:dyDescent="0.2">
      <c r="A547" s="1">
        <v>44180</v>
      </c>
      <c r="B547">
        <f t="shared" si="76"/>
        <v>10.87</v>
      </c>
      <c r="C547" s="1" t="s">
        <v>59</v>
      </c>
      <c r="D547" s="1" t="s">
        <v>62</v>
      </c>
      <c r="E547" s="1" t="s">
        <v>67</v>
      </c>
      <c r="F547" s="1" t="s">
        <v>53</v>
      </c>
      <c r="G547">
        <v>1489</v>
      </c>
      <c r="H547" s="4">
        <v>69.7</v>
      </c>
      <c r="I547" s="4">
        <v>115</v>
      </c>
      <c r="J547" s="4">
        <v>54</v>
      </c>
      <c r="K547" s="4">
        <v>83.69</v>
      </c>
      <c r="L547" s="4">
        <v>99</v>
      </c>
      <c r="M547" s="4">
        <v>68</v>
      </c>
      <c r="N547" s="4">
        <v>93</v>
      </c>
      <c r="O547" s="4">
        <v>52</v>
      </c>
      <c r="P547" s="4">
        <v>39.039107803696801</v>
      </c>
      <c r="Q547" s="4">
        <v>60.202609379574398</v>
      </c>
      <c r="R547" s="4">
        <v>49</v>
      </c>
      <c r="S547" s="7" t="s">
        <v>34</v>
      </c>
      <c r="T547" s="4">
        <v>288566</v>
      </c>
      <c r="U547" s="4">
        <v>533964</v>
      </c>
      <c r="V547" s="4">
        <v>2679</v>
      </c>
      <c r="W547" s="4">
        <v>121100</v>
      </c>
      <c r="X547" s="4">
        <v>181780</v>
      </c>
      <c r="Y547" s="4">
        <v>352184</v>
      </c>
      <c r="Z547" s="4">
        <v>120000</v>
      </c>
      <c r="AA547" s="4">
        <v>1100</v>
      </c>
      <c r="AB547" s="4">
        <v>98354</v>
      </c>
      <c r="AC547" s="4">
        <v>194396</v>
      </c>
      <c r="AD547" s="4">
        <v>2679</v>
      </c>
      <c r="AE547" s="4">
        <v>13583</v>
      </c>
      <c r="AF547" s="4">
        <v>309012</v>
      </c>
      <c r="AG547" s="6">
        <v>34414</v>
      </c>
      <c r="AH547" s="6">
        <v>34360</v>
      </c>
      <c r="AI547" s="6">
        <v>54</v>
      </c>
      <c r="AL547" s="4">
        <v>1959</v>
      </c>
      <c r="AM547" s="4">
        <v>18217</v>
      </c>
      <c r="AN547" s="4">
        <v>1326</v>
      </c>
      <c r="AV547" s="4">
        <v>462</v>
      </c>
      <c r="AW547" s="4">
        <v>507</v>
      </c>
    </row>
    <row r="548" spans="1:49" x14ac:dyDescent="0.2">
      <c r="A548" s="1">
        <v>44179</v>
      </c>
      <c r="B548">
        <f t="shared" si="76"/>
        <v>10.87</v>
      </c>
      <c r="C548" s="1" t="s">
        <v>59</v>
      </c>
      <c r="D548" s="1" t="s">
        <v>62</v>
      </c>
      <c r="E548" s="1" t="s">
        <v>67</v>
      </c>
      <c r="F548" s="1" t="s">
        <v>53</v>
      </c>
      <c r="G548">
        <v>1449</v>
      </c>
      <c r="H548" s="4">
        <v>45.74</v>
      </c>
      <c r="I548" s="4">
        <v>116</v>
      </c>
      <c r="J548" s="4">
        <v>53</v>
      </c>
      <c r="K548" s="4">
        <v>69.37</v>
      </c>
      <c r="L548" s="4">
        <v>90</v>
      </c>
      <c r="M548" s="4">
        <v>63</v>
      </c>
      <c r="N548" s="4">
        <v>88</v>
      </c>
      <c r="O548" s="4">
        <v>49</v>
      </c>
      <c r="P548" s="4">
        <v>36.146912926188499</v>
      </c>
      <c r="Q548" s="4">
        <v>58.354470579640598</v>
      </c>
      <c r="R548" s="4">
        <v>47</v>
      </c>
      <c r="S548" s="7" t="s">
        <v>34</v>
      </c>
      <c r="T548" s="4">
        <v>258159</v>
      </c>
      <c r="U548" s="4">
        <v>552810</v>
      </c>
      <c r="V548" s="4">
        <v>2172</v>
      </c>
      <c r="W548" s="4">
        <v>121100</v>
      </c>
      <c r="X548" s="4">
        <v>181310</v>
      </c>
      <c r="Y548" s="4">
        <v>371500</v>
      </c>
      <c r="Z548" s="4">
        <v>120000</v>
      </c>
      <c r="AA548" s="4">
        <v>1100</v>
      </c>
      <c r="AB548" s="4">
        <v>77983</v>
      </c>
      <c r="AC548" s="4">
        <v>191349</v>
      </c>
      <c r="AD548" s="4">
        <v>2172</v>
      </c>
      <c r="AE548" s="4">
        <v>10234</v>
      </c>
      <c r="AF548" s="4">
        <v>281738</v>
      </c>
      <c r="AG548" s="6">
        <v>35221</v>
      </c>
      <c r="AH548" s="6">
        <v>35144</v>
      </c>
      <c r="AI548" s="6">
        <v>77</v>
      </c>
      <c r="AL548" s="4">
        <v>1954</v>
      </c>
      <c r="AM548" s="4">
        <v>18247</v>
      </c>
      <c r="AN548" s="4">
        <v>1288</v>
      </c>
      <c r="AV548" s="4">
        <v>481</v>
      </c>
      <c r="AW548" s="4">
        <v>506</v>
      </c>
    </row>
    <row r="549" spans="1:49" x14ac:dyDescent="0.2">
      <c r="A549" s="1">
        <v>44178</v>
      </c>
      <c r="B549">
        <v>12.53</v>
      </c>
      <c r="C549" s="1" t="s">
        <v>59</v>
      </c>
      <c r="D549" s="1" t="s">
        <v>62</v>
      </c>
      <c r="E549" s="1" t="s">
        <v>67</v>
      </c>
      <c r="F549" s="1" t="s">
        <v>53</v>
      </c>
      <c r="G549">
        <v>1408</v>
      </c>
      <c r="H549" s="4">
        <v>65.87</v>
      </c>
      <c r="I549" s="4">
        <v>108</v>
      </c>
      <c r="J549" s="4">
        <v>84</v>
      </c>
      <c r="K549" s="4">
        <v>63.74</v>
      </c>
      <c r="L549" s="4">
        <v>68</v>
      </c>
      <c r="M549" s="4">
        <v>56</v>
      </c>
      <c r="N549" s="4">
        <v>82</v>
      </c>
      <c r="O549" s="4">
        <v>53</v>
      </c>
      <c r="P549" s="4">
        <v>47.635933321020801</v>
      </c>
      <c r="Q549" s="4">
        <v>59.556957364404603</v>
      </c>
      <c r="R549" s="4">
        <v>50</v>
      </c>
      <c r="S549" s="7" t="s">
        <v>34</v>
      </c>
      <c r="T549" s="4">
        <v>302974</v>
      </c>
      <c r="U549" s="4">
        <v>542366</v>
      </c>
      <c r="V549" s="4">
        <v>365</v>
      </c>
      <c r="W549" s="4">
        <v>121100</v>
      </c>
      <c r="X549" s="4">
        <v>180866</v>
      </c>
      <c r="Y549" s="4">
        <v>361500</v>
      </c>
      <c r="Z549" s="4">
        <v>120000</v>
      </c>
      <c r="AA549" s="4">
        <v>1100</v>
      </c>
      <c r="AB549" s="4">
        <v>66605</v>
      </c>
      <c r="AC549" s="4">
        <v>230518</v>
      </c>
      <c r="AD549" s="4">
        <v>365</v>
      </c>
      <c r="AE549" s="4">
        <v>14478</v>
      </c>
      <c r="AF549" s="4">
        <v>311966</v>
      </c>
      <c r="AG549" s="6">
        <v>22279</v>
      </c>
      <c r="AH549" s="6">
        <v>22236</v>
      </c>
      <c r="AI549" s="6">
        <v>43</v>
      </c>
      <c r="AL549" s="4">
        <v>1756</v>
      </c>
      <c r="AM549" s="4">
        <v>17539</v>
      </c>
      <c r="AN549" s="4">
        <v>1281</v>
      </c>
      <c r="AV549" s="4">
        <v>421</v>
      </c>
      <c r="AW549" s="4">
        <v>480</v>
      </c>
    </row>
    <row r="550" spans="1:49" x14ac:dyDescent="0.2">
      <c r="A550" s="1">
        <v>44177</v>
      </c>
      <c r="B550">
        <f>B549</f>
        <v>12.53</v>
      </c>
      <c r="C550" s="1" t="s">
        <v>57</v>
      </c>
      <c r="D550" s="1" t="s">
        <v>62</v>
      </c>
      <c r="E550" s="1" t="s">
        <v>67</v>
      </c>
      <c r="F550" s="1" t="s">
        <v>53</v>
      </c>
      <c r="G550">
        <v>1369</v>
      </c>
      <c r="H550" s="4">
        <v>73.849999999999994</v>
      </c>
      <c r="I550" s="4">
        <v>108</v>
      </c>
      <c r="J550" s="4">
        <v>85</v>
      </c>
      <c r="K550" s="4">
        <v>109.65</v>
      </c>
      <c r="L550" s="4">
        <v>82</v>
      </c>
      <c r="M550" s="4">
        <v>59</v>
      </c>
      <c r="N550" s="4">
        <v>89</v>
      </c>
      <c r="O550" s="4">
        <v>58</v>
      </c>
      <c r="P550" s="4">
        <v>48.0753737521012</v>
      </c>
      <c r="Q550" s="4">
        <v>59.4643218650642</v>
      </c>
      <c r="R550" s="4">
        <v>54</v>
      </c>
      <c r="S550" s="7" t="s">
        <v>34</v>
      </c>
      <c r="T550" s="4">
        <v>344180</v>
      </c>
      <c r="U550" s="4">
        <v>542836</v>
      </c>
      <c r="V550" s="4">
        <v>966</v>
      </c>
      <c r="W550" s="4">
        <v>121100</v>
      </c>
      <c r="X550" s="4">
        <v>181336</v>
      </c>
      <c r="Y550" s="4">
        <v>361500</v>
      </c>
      <c r="Z550" s="4">
        <v>120000</v>
      </c>
      <c r="AA550" s="4">
        <v>1100</v>
      </c>
      <c r="AB550" s="4">
        <v>71528</v>
      </c>
      <c r="AC550" s="4">
        <v>264712</v>
      </c>
      <c r="AD550" s="4">
        <v>966</v>
      </c>
      <c r="AE550" s="4">
        <v>19129</v>
      </c>
      <c r="AF550" s="4">
        <v>356335</v>
      </c>
      <c r="AG550" s="6">
        <v>19592</v>
      </c>
      <c r="AH550" s="6">
        <v>19552</v>
      </c>
      <c r="AI550" s="6">
        <v>40</v>
      </c>
      <c r="AL550" s="4">
        <v>1798</v>
      </c>
      <c r="AM550" s="4">
        <v>16910</v>
      </c>
      <c r="AN550" s="4">
        <v>1243</v>
      </c>
      <c r="AV550" s="4">
        <v>440</v>
      </c>
      <c r="AW550" s="4">
        <v>488</v>
      </c>
    </row>
    <row r="551" spans="1:49" x14ac:dyDescent="0.2">
      <c r="A551" s="1">
        <v>44176</v>
      </c>
      <c r="B551">
        <f t="shared" ref="B551:B555" si="77">B550</f>
        <v>12.53</v>
      </c>
      <c r="C551" s="1" t="s">
        <v>57</v>
      </c>
      <c r="D551" s="1" t="s">
        <v>62</v>
      </c>
      <c r="E551" s="1" t="s">
        <v>67</v>
      </c>
      <c r="F551" s="1" t="s">
        <v>53</v>
      </c>
      <c r="G551">
        <v>1343</v>
      </c>
      <c r="H551" s="4">
        <v>55.16</v>
      </c>
      <c r="I551" s="4">
        <v>116</v>
      </c>
      <c r="J551" s="4">
        <v>58</v>
      </c>
      <c r="K551" s="4">
        <v>89.89</v>
      </c>
      <c r="L551" s="4">
        <v>87</v>
      </c>
      <c r="M551" s="4">
        <v>58</v>
      </c>
      <c r="N551" s="4">
        <v>91</v>
      </c>
      <c r="O551" s="4">
        <v>52</v>
      </c>
      <c r="P551" s="4">
        <v>38.543969000402903</v>
      </c>
      <c r="Q551" s="4">
        <v>58.748082126911903</v>
      </c>
      <c r="R551" s="4">
        <v>50</v>
      </c>
      <c r="S551" s="7" t="s">
        <v>34</v>
      </c>
      <c r="T551" s="4">
        <v>361867</v>
      </c>
      <c r="U551" s="4">
        <v>537163</v>
      </c>
      <c r="V551" s="4">
        <v>3979</v>
      </c>
      <c r="W551" s="4">
        <v>121100</v>
      </c>
      <c r="X551" s="4">
        <v>180663</v>
      </c>
      <c r="Y551" s="4">
        <v>356500</v>
      </c>
      <c r="Z551" s="4">
        <v>120000</v>
      </c>
      <c r="AA551" s="4">
        <v>1100</v>
      </c>
      <c r="AB551" s="4">
        <v>85561</v>
      </c>
      <c r="AC551" s="4">
        <v>285377</v>
      </c>
      <c r="AD551" s="4">
        <v>2896</v>
      </c>
      <c r="AE551" s="4">
        <v>20811</v>
      </c>
      <c r="AF551" s="4">
        <v>394645</v>
      </c>
      <c r="AG551" s="6">
        <v>24425</v>
      </c>
      <c r="AH551" s="6">
        <v>24373</v>
      </c>
      <c r="AI551" s="6">
        <v>52</v>
      </c>
      <c r="AL551" s="4">
        <v>1690</v>
      </c>
      <c r="AM551" s="4">
        <v>16886</v>
      </c>
      <c r="AN551" s="4">
        <v>1275</v>
      </c>
      <c r="AV551" s="4">
        <v>455</v>
      </c>
      <c r="AW551" s="4">
        <v>491</v>
      </c>
    </row>
    <row r="552" spans="1:49" x14ac:dyDescent="0.2">
      <c r="A552" s="1">
        <v>44175</v>
      </c>
      <c r="B552">
        <f t="shared" si="77"/>
        <v>12.53</v>
      </c>
      <c r="C552" s="1" t="s">
        <v>57</v>
      </c>
      <c r="D552" s="1" t="s">
        <v>62</v>
      </c>
      <c r="E552" s="1" t="s">
        <v>67</v>
      </c>
      <c r="F552" s="1" t="s">
        <v>53</v>
      </c>
      <c r="G552">
        <v>1318</v>
      </c>
      <c r="H552" s="4">
        <v>47.04</v>
      </c>
      <c r="I552" s="4">
        <v>117</v>
      </c>
      <c r="J552" s="4">
        <v>56</v>
      </c>
      <c r="K552" s="4">
        <v>73.19</v>
      </c>
      <c r="L552" s="4">
        <v>88</v>
      </c>
      <c r="M552" s="4">
        <v>59</v>
      </c>
      <c r="N552" s="4">
        <v>89</v>
      </c>
      <c r="O552" s="4">
        <v>49</v>
      </c>
      <c r="P552" s="4">
        <v>36.477937847222698</v>
      </c>
      <c r="Q552" s="4">
        <v>58.148355225222502</v>
      </c>
      <c r="R552" s="4">
        <v>47</v>
      </c>
      <c r="S552" s="7" t="s">
        <v>34</v>
      </c>
      <c r="T552" s="4">
        <v>378124</v>
      </c>
      <c r="U552" s="4">
        <v>536978</v>
      </c>
      <c r="V552" s="4">
        <v>3590</v>
      </c>
      <c r="W552" s="4">
        <v>121100</v>
      </c>
      <c r="X552" s="4">
        <v>181078</v>
      </c>
      <c r="Y552" s="4">
        <v>355900</v>
      </c>
      <c r="Z552" s="4">
        <v>120000</v>
      </c>
      <c r="AA552" s="4">
        <v>1100</v>
      </c>
      <c r="AB552" s="4">
        <v>88402</v>
      </c>
      <c r="AC552" s="4">
        <v>288925</v>
      </c>
      <c r="AD552" s="4">
        <v>2611</v>
      </c>
      <c r="AE552" s="4">
        <v>22900</v>
      </c>
      <c r="AF552" s="4">
        <v>402838</v>
      </c>
      <c r="AG552" s="6">
        <v>22927</v>
      </c>
      <c r="AH552" s="6">
        <v>22880</v>
      </c>
      <c r="AI552" s="6">
        <v>47</v>
      </c>
      <c r="AL552" s="4">
        <v>1752</v>
      </c>
      <c r="AM552" s="4">
        <v>16724</v>
      </c>
      <c r="AN552" s="4">
        <v>1267</v>
      </c>
      <c r="AV552" s="4">
        <v>450</v>
      </c>
      <c r="AW552" s="4">
        <v>496</v>
      </c>
    </row>
    <row r="553" spans="1:49" x14ac:dyDescent="0.2">
      <c r="A553" s="1">
        <v>44174</v>
      </c>
      <c r="B553">
        <f t="shared" si="77"/>
        <v>12.53</v>
      </c>
      <c r="C553" s="1" t="s">
        <v>57</v>
      </c>
      <c r="D553" s="1" t="s">
        <v>62</v>
      </c>
      <c r="E553" s="1" t="s">
        <v>67</v>
      </c>
      <c r="F553" s="1" t="s">
        <v>53</v>
      </c>
      <c r="G553">
        <v>1291</v>
      </c>
      <c r="H553" s="4">
        <v>41.65</v>
      </c>
      <c r="I553" s="4">
        <v>116</v>
      </c>
      <c r="J553" s="4">
        <v>57</v>
      </c>
      <c r="K553" s="4">
        <v>70.08</v>
      </c>
      <c r="L553" s="4">
        <v>86</v>
      </c>
      <c r="M553" s="4">
        <v>58</v>
      </c>
      <c r="N553" s="4">
        <v>88</v>
      </c>
      <c r="O553" s="4">
        <v>48</v>
      </c>
      <c r="P553" s="4">
        <v>36.205136335838397</v>
      </c>
      <c r="Q553" s="4">
        <v>58.067652110100198</v>
      </c>
      <c r="R553" s="4">
        <v>46</v>
      </c>
      <c r="S553" s="7" t="s">
        <v>34</v>
      </c>
      <c r="T553" s="4">
        <v>330310</v>
      </c>
      <c r="U553" s="4">
        <v>552186</v>
      </c>
      <c r="V553" s="4">
        <v>2860</v>
      </c>
      <c r="W553" s="4">
        <v>121100</v>
      </c>
      <c r="X553" s="4">
        <v>181686</v>
      </c>
      <c r="Y553" s="4">
        <v>370500</v>
      </c>
      <c r="Z553" s="4">
        <v>120000</v>
      </c>
      <c r="AA553" s="4">
        <v>1100</v>
      </c>
      <c r="AB553" s="4">
        <v>93906</v>
      </c>
      <c r="AC553" s="4">
        <v>259307</v>
      </c>
      <c r="AD553" s="4">
        <v>2401</v>
      </c>
      <c r="AE553" s="4">
        <v>16546</v>
      </c>
      <c r="AF553" s="4">
        <v>372160</v>
      </c>
      <c r="AG553" s="6">
        <v>21937</v>
      </c>
      <c r="AH553" s="6">
        <v>21878</v>
      </c>
      <c r="AI553" s="6">
        <v>59</v>
      </c>
      <c r="AL553" s="4">
        <v>1756</v>
      </c>
      <c r="AM553" s="4">
        <v>16332</v>
      </c>
      <c r="AN553" s="4">
        <v>1243</v>
      </c>
      <c r="AV553" s="4">
        <v>433</v>
      </c>
      <c r="AW553" s="4">
        <v>448</v>
      </c>
    </row>
    <row r="554" spans="1:49" x14ac:dyDescent="0.2">
      <c r="A554" s="1">
        <v>44173</v>
      </c>
      <c r="B554">
        <f t="shared" si="77"/>
        <v>12.53</v>
      </c>
      <c r="C554" s="1" t="s">
        <v>57</v>
      </c>
      <c r="D554" s="1" t="s">
        <v>62</v>
      </c>
      <c r="E554" s="1" t="s">
        <v>67</v>
      </c>
      <c r="F554" s="1" t="s">
        <v>53</v>
      </c>
      <c r="G554">
        <v>1250</v>
      </c>
      <c r="H554" s="4">
        <v>37.619999999999997</v>
      </c>
      <c r="I554" s="4">
        <v>116</v>
      </c>
      <c r="J554" s="4">
        <v>56</v>
      </c>
      <c r="K554" s="4">
        <v>66.55</v>
      </c>
      <c r="L554" s="4">
        <v>85</v>
      </c>
      <c r="M554" s="4">
        <v>59</v>
      </c>
      <c r="N554" s="4">
        <v>88</v>
      </c>
      <c r="O554" s="4">
        <v>49</v>
      </c>
      <c r="P554" s="4">
        <v>35.617465564101302</v>
      </c>
      <c r="Q554" s="4">
        <v>58.496829262033302</v>
      </c>
      <c r="R554" s="4">
        <v>45</v>
      </c>
      <c r="S554" s="7" t="s">
        <v>34</v>
      </c>
      <c r="T554" s="4">
        <v>260810</v>
      </c>
      <c r="U554" s="4">
        <v>559686</v>
      </c>
      <c r="V554" s="4">
        <v>2254</v>
      </c>
      <c r="W554" s="4">
        <v>121100</v>
      </c>
      <c r="X554" s="4">
        <v>181686</v>
      </c>
      <c r="Y554" s="4">
        <v>378000</v>
      </c>
      <c r="Z554" s="4">
        <v>120000</v>
      </c>
      <c r="AA554" s="4">
        <v>1100</v>
      </c>
      <c r="AB554" s="4">
        <v>90572</v>
      </c>
      <c r="AC554" s="4">
        <v>193825</v>
      </c>
      <c r="AD554" s="4">
        <v>1990</v>
      </c>
      <c r="AE554" s="4">
        <v>13098</v>
      </c>
      <c r="AF554" s="4">
        <v>299485</v>
      </c>
      <c r="AG554" s="6">
        <v>21097</v>
      </c>
      <c r="AH554" s="6">
        <v>21049</v>
      </c>
      <c r="AI554" s="6">
        <v>48</v>
      </c>
      <c r="AL554" s="4">
        <v>1782</v>
      </c>
      <c r="AM554" s="4">
        <v>16478</v>
      </c>
      <c r="AN554" s="4">
        <v>1272</v>
      </c>
      <c r="AV554" s="4">
        <v>436</v>
      </c>
      <c r="AW554" s="4">
        <v>472</v>
      </c>
    </row>
    <row r="555" spans="1:49" x14ac:dyDescent="0.2">
      <c r="A555" s="1">
        <v>44172</v>
      </c>
      <c r="B555">
        <f t="shared" si="77"/>
        <v>12.53</v>
      </c>
      <c r="C555" s="1" t="s">
        <v>57</v>
      </c>
      <c r="D555" s="1" t="s">
        <v>62</v>
      </c>
      <c r="E555" s="1" t="s">
        <v>67</v>
      </c>
      <c r="F555" s="1" t="s">
        <v>53</v>
      </c>
      <c r="G555">
        <v>1210</v>
      </c>
      <c r="H555" s="4">
        <v>36.229999999999997</v>
      </c>
      <c r="I555" s="4">
        <v>116</v>
      </c>
      <c r="J555" s="4">
        <v>55</v>
      </c>
      <c r="K555" s="4">
        <v>63.17</v>
      </c>
      <c r="L555" s="4">
        <v>87</v>
      </c>
      <c r="M555" s="4">
        <v>62</v>
      </c>
      <c r="N555" s="4">
        <v>88</v>
      </c>
      <c r="O555" s="4">
        <v>49</v>
      </c>
      <c r="P555" s="4">
        <v>35.353404297807202</v>
      </c>
      <c r="Q555" s="4">
        <v>58.4146974845047</v>
      </c>
      <c r="R555" s="4">
        <v>45</v>
      </c>
      <c r="S555" s="7" t="s">
        <v>34</v>
      </c>
      <c r="T555" s="4">
        <v>185588</v>
      </c>
      <c r="U555" s="4">
        <v>561716</v>
      </c>
      <c r="V555" s="4">
        <v>2074</v>
      </c>
      <c r="W555" s="4">
        <v>121100</v>
      </c>
      <c r="X555" s="4">
        <v>177716</v>
      </c>
      <c r="Y555" s="4">
        <v>384000</v>
      </c>
      <c r="Z555" s="4">
        <v>120000</v>
      </c>
      <c r="AA555" s="4">
        <v>1100</v>
      </c>
      <c r="AB555" s="4">
        <v>73353</v>
      </c>
      <c r="AC555" s="4">
        <v>136057</v>
      </c>
      <c r="AD555" s="4">
        <v>2074</v>
      </c>
      <c r="AE555" s="4">
        <v>10666</v>
      </c>
      <c r="AF555" s="4">
        <v>222150</v>
      </c>
      <c r="AG555" s="6">
        <v>21644</v>
      </c>
      <c r="AH555" s="6">
        <v>21589</v>
      </c>
      <c r="AI555" s="6">
        <v>55</v>
      </c>
      <c r="AL555" s="4">
        <v>1661</v>
      </c>
      <c r="AM555" s="4">
        <v>16416</v>
      </c>
      <c r="AN555" s="4">
        <v>1271</v>
      </c>
      <c r="AV555" s="4">
        <v>426</v>
      </c>
      <c r="AW555" s="4">
        <v>466</v>
      </c>
    </row>
    <row r="556" spans="1:49" x14ac:dyDescent="0.2">
      <c r="A556" s="1">
        <v>44171</v>
      </c>
      <c r="B556">
        <v>14.45</v>
      </c>
      <c r="C556" s="1" t="s">
        <v>57</v>
      </c>
      <c r="D556" s="1" t="s">
        <v>62</v>
      </c>
      <c r="E556" s="1" t="s">
        <v>67</v>
      </c>
      <c r="F556" s="1" t="s">
        <v>53</v>
      </c>
      <c r="G556">
        <v>1158</v>
      </c>
      <c r="H556" s="4">
        <v>64.72</v>
      </c>
      <c r="I556" s="4">
        <v>107</v>
      </c>
      <c r="J556" s="4">
        <v>85</v>
      </c>
      <c r="K556" s="4">
        <v>67.099999999999994</v>
      </c>
      <c r="L556" s="4">
        <v>89</v>
      </c>
      <c r="M556" s="4">
        <v>62</v>
      </c>
      <c r="N556" s="4">
        <v>85</v>
      </c>
      <c r="O556" s="4">
        <v>56</v>
      </c>
      <c r="P556" s="4">
        <v>48.400949429863303</v>
      </c>
      <c r="Q556" s="4">
        <v>60.601512140082697</v>
      </c>
      <c r="R556" s="4">
        <v>52</v>
      </c>
      <c r="S556" s="7" t="s">
        <v>34</v>
      </c>
      <c r="T556" s="4">
        <v>250616</v>
      </c>
      <c r="U556" s="4">
        <v>555960</v>
      </c>
      <c r="V556" s="4">
        <v>335</v>
      </c>
      <c r="W556" s="4">
        <v>121100</v>
      </c>
      <c r="X556" s="4">
        <v>177460</v>
      </c>
      <c r="Y556" s="4">
        <v>378500</v>
      </c>
      <c r="Z556" s="4">
        <v>120000</v>
      </c>
      <c r="AA556" s="4">
        <v>1100</v>
      </c>
      <c r="AB556" s="4">
        <v>60939</v>
      </c>
      <c r="AC556" s="4">
        <v>194677</v>
      </c>
      <c r="AD556" s="4">
        <v>335</v>
      </c>
      <c r="AE556" s="4">
        <v>15874</v>
      </c>
      <c r="AF556" s="4">
        <v>271825</v>
      </c>
      <c r="AG556" s="6">
        <v>13765</v>
      </c>
      <c r="AH556" s="6">
        <v>13737</v>
      </c>
      <c r="AI556" s="6">
        <v>28</v>
      </c>
      <c r="AL556" s="4">
        <v>1471</v>
      </c>
      <c r="AM556" s="4">
        <v>15961</v>
      </c>
      <c r="AN556" s="4">
        <v>1249</v>
      </c>
      <c r="AV556" s="4">
        <v>422</v>
      </c>
      <c r="AW556" s="4">
        <v>436</v>
      </c>
    </row>
    <row r="557" spans="1:49" x14ac:dyDescent="0.2">
      <c r="A557" s="1">
        <v>44170</v>
      </c>
      <c r="B557">
        <f>B556</f>
        <v>14.45</v>
      </c>
      <c r="C557" s="1" t="s">
        <v>57</v>
      </c>
      <c r="D557" s="1" t="s">
        <v>62</v>
      </c>
      <c r="E557" s="1" t="s">
        <v>67</v>
      </c>
      <c r="F557" s="1" t="s">
        <v>53</v>
      </c>
      <c r="G557">
        <v>1127</v>
      </c>
      <c r="H557" s="4">
        <v>69.790000000000006</v>
      </c>
      <c r="I557" s="4">
        <v>108</v>
      </c>
      <c r="J557" s="4">
        <v>86</v>
      </c>
      <c r="K557" s="4">
        <v>104.39</v>
      </c>
      <c r="L557" s="4">
        <v>86</v>
      </c>
      <c r="M557" s="4">
        <v>62</v>
      </c>
      <c r="N557" s="4">
        <v>90</v>
      </c>
      <c r="O557" s="4">
        <v>58</v>
      </c>
      <c r="P557" s="4">
        <v>46.865207815232601</v>
      </c>
      <c r="Q557" s="4">
        <v>59.818329817480198</v>
      </c>
      <c r="R557" s="4">
        <v>55</v>
      </c>
      <c r="S557" s="7" t="s">
        <v>34</v>
      </c>
      <c r="T557" s="4">
        <v>325766</v>
      </c>
      <c r="U557" s="4">
        <v>562109</v>
      </c>
      <c r="V557" s="4">
        <v>1417</v>
      </c>
      <c r="W557" s="4">
        <v>121100</v>
      </c>
      <c r="X557" s="4">
        <v>177836</v>
      </c>
      <c r="Y557" s="4">
        <v>384000</v>
      </c>
      <c r="Z557" s="4">
        <v>120000</v>
      </c>
      <c r="AA557" s="4">
        <v>1373</v>
      </c>
      <c r="AB557" s="4">
        <v>75535</v>
      </c>
      <c r="AC557" s="4">
        <v>257878</v>
      </c>
      <c r="AD557" s="4">
        <v>1417</v>
      </c>
      <c r="AE557" s="4">
        <v>19548</v>
      </c>
      <c r="AF557" s="4">
        <v>354378</v>
      </c>
      <c r="AG557" s="6">
        <v>12917</v>
      </c>
      <c r="AH557" s="6">
        <v>12905</v>
      </c>
      <c r="AI557" s="6">
        <v>12</v>
      </c>
      <c r="AL557" s="4">
        <v>1379</v>
      </c>
      <c r="AM557" s="4">
        <v>15689</v>
      </c>
      <c r="AN557" s="4">
        <v>1247</v>
      </c>
      <c r="AV557" s="4">
        <v>395</v>
      </c>
      <c r="AW557" s="4">
        <v>407</v>
      </c>
    </row>
    <row r="558" spans="1:49" x14ac:dyDescent="0.2">
      <c r="A558" s="1">
        <v>44169</v>
      </c>
      <c r="B558">
        <f t="shared" ref="B558:B562" si="78">B557</f>
        <v>14.45</v>
      </c>
      <c r="C558" s="1" t="s">
        <v>57</v>
      </c>
      <c r="D558" s="1" t="s">
        <v>62</v>
      </c>
      <c r="E558" s="1" t="s">
        <v>67</v>
      </c>
      <c r="F558" s="1" t="s">
        <v>53</v>
      </c>
      <c r="G558">
        <v>1106</v>
      </c>
      <c r="H558" s="4">
        <v>53.28</v>
      </c>
      <c r="I558" s="4">
        <v>116</v>
      </c>
      <c r="J558" s="4">
        <v>58</v>
      </c>
      <c r="K558" s="4">
        <v>79.75</v>
      </c>
      <c r="L558" s="4">
        <v>76</v>
      </c>
      <c r="M558" s="4">
        <v>58</v>
      </c>
      <c r="N558" s="4">
        <v>91</v>
      </c>
      <c r="O558" s="4">
        <v>51</v>
      </c>
      <c r="P558" s="4">
        <v>37.495230349323997</v>
      </c>
      <c r="Q558" s="4">
        <v>58.778361904187001</v>
      </c>
      <c r="R558" s="4">
        <v>48</v>
      </c>
      <c r="S558" s="7" t="s">
        <v>34</v>
      </c>
      <c r="T558" s="4">
        <v>337403</v>
      </c>
      <c r="U558" s="4">
        <v>564032</v>
      </c>
      <c r="V558" s="4">
        <v>4228</v>
      </c>
      <c r="W558" s="4">
        <v>121100</v>
      </c>
      <c r="X558" s="4">
        <v>178039</v>
      </c>
      <c r="Y558" s="4">
        <v>382550</v>
      </c>
      <c r="Z558" s="4">
        <v>120000</v>
      </c>
      <c r="AA558" s="4">
        <v>4543</v>
      </c>
      <c r="AB558" s="4">
        <v>84740</v>
      </c>
      <c r="AC558" s="4">
        <v>274488</v>
      </c>
      <c r="AD558" s="4">
        <v>3393</v>
      </c>
      <c r="AE558" s="4">
        <v>22414</v>
      </c>
      <c r="AF558" s="4">
        <v>385035</v>
      </c>
      <c r="AG558" s="6">
        <v>15866</v>
      </c>
      <c r="AH558" s="6">
        <v>15836</v>
      </c>
      <c r="AI558" s="6">
        <v>30</v>
      </c>
      <c r="AL558" s="4">
        <v>1431</v>
      </c>
      <c r="AM558" s="4">
        <v>15728</v>
      </c>
      <c r="AN558" s="4">
        <v>1274</v>
      </c>
      <c r="AV558" s="4">
        <v>476</v>
      </c>
      <c r="AW558" s="4">
        <v>499</v>
      </c>
    </row>
    <row r="559" spans="1:49" x14ac:dyDescent="0.2">
      <c r="A559" s="1">
        <v>44168</v>
      </c>
      <c r="B559">
        <f t="shared" si="78"/>
        <v>14.45</v>
      </c>
      <c r="C559" s="1" t="s">
        <v>57</v>
      </c>
      <c r="D559" s="1" t="s">
        <v>62</v>
      </c>
      <c r="E559" s="1" t="s">
        <v>67</v>
      </c>
      <c r="F559" s="1" t="s">
        <v>53</v>
      </c>
      <c r="G559">
        <v>1093</v>
      </c>
      <c r="H559" s="4">
        <v>37.61</v>
      </c>
      <c r="I559" s="4">
        <v>118</v>
      </c>
      <c r="J559" s="4">
        <v>56</v>
      </c>
      <c r="K559" s="4">
        <v>60.56</v>
      </c>
      <c r="L559" s="4">
        <v>66</v>
      </c>
      <c r="M559" s="4">
        <v>54</v>
      </c>
      <c r="N559" s="4">
        <v>82</v>
      </c>
      <c r="O559" s="4">
        <v>47</v>
      </c>
      <c r="P559" s="4">
        <v>34.361851306925701</v>
      </c>
      <c r="Q559" s="4">
        <v>55.9765595963949</v>
      </c>
      <c r="R559" s="4">
        <v>44</v>
      </c>
      <c r="S559" s="7" t="s">
        <v>34</v>
      </c>
      <c r="T559" s="4">
        <v>352956</v>
      </c>
      <c r="U559" s="4">
        <v>582238</v>
      </c>
      <c r="V559" s="4">
        <v>3740</v>
      </c>
      <c r="W559" s="4">
        <v>121100</v>
      </c>
      <c r="X559" s="4">
        <v>177998</v>
      </c>
      <c r="Y559" s="4">
        <v>400100</v>
      </c>
      <c r="Z559" s="4">
        <v>120000</v>
      </c>
      <c r="AA559" s="4">
        <v>5240</v>
      </c>
      <c r="AB559" s="4">
        <v>85840</v>
      </c>
      <c r="AC559" s="4">
        <v>277949</v>
      </c>
      <c r="AD559" s="4">
        <v>2916</v>
      </c>
      <c r="AE559" s="4">
        <v>24822</v>
      </c>
      <c r="AF559" s="4">
        <v>391527</v>
      </c>
      <c r="AG559" s="6">
        <v>15926</v>
      </c>
      <c r="AH559" s="6">
        <v>15879</v>
      </c>
      <c r="AI559" s="6">
        <v>47</v>
      </c>
      <c r="AL559" s="4">
        <v>1500</v>
      </c>
      <c r="AM559" s="4">
        <v>15659</v>
      </c>
      <c r="AN559" s="4">
        <v>1261</v>
      </c>
      <c r="AV559" s="4">
        <v>477</v>
      </c>
      <c r="AW559" s="4">
        <v>504</v>
      </c>
    </row>
    <row r="560" spans="1:49" x14ac:dyDescent="0.2">
      <c r="A560" s="1">
        <v>44167</v>
      </c>
      <c r="B560">
        <f t="shared" si="78"/>
        <v>14.45</v>
      </c>
      <c r="C560" s="1" t="s">
        <v>57</v>
      </c>
      <c r="D560" s="1" t="s">
        <v>62</v>
      </c>
      <c r="E560" s="1" t="s">
        <v>67</v>
      </c>
      <c r="F560" s="1" t="s">
        <v>53</v>
      </c>
      <c r="G560">
        <v>1091</v>
      </c>
      <c r="H560" s="4">
        <v>30.97</v>
      </c>
      <c r="I560" s="4">
        <v>117</v>
      </c>
      <c r="J560" s="4">
        <v>58</v>
      </c>
      <c r="K560" s="4">
        <v>61.11</v>
      </c>
      <c r="L560" s="4">
        <v>87</v>
      </c>
      <c r="M560" s="4">
        <v>57</v>
      </c>
      <c r="N560" s="4">
        <v>87</v>
      </c>
      <c r="O560" s="4">
        <v>47</v>
      </c>
      <c r="P560" s="4">
        <v>32.8520295564837</v>
      </c>
      <c r="Q560" s="4">
        <v>57.623721118046902</v>
      </c>
      <c r="R560" s="4">
        <v>41</v>
      </c>
      <c r="S560" s="7" t="s">
        <v>34</v>
      </c>
      <c r="T560" s="4">
        <v>325238</v>
      </c>
      <c r="U560" s="4">
        <v>582449</v>
      </c>
      <c r="V560" s="4">
        <v>3528</v>
      </c>
      <c r="W560" s="4">
        <v>121100</v>
      </c>
      <c r="X560" s="4">
        <v>178187</v>
      </c>
      <c r="Y560" s="4">
        <v>400100</v>
      </c>
      <c r="Z560" s="4">
        <v>120000</v>
      </c>
      <c r="AA560" s="4">
        <v>5262</v>
      </c>
      <c r="AB560" s="4">
        <v>92574</v>
      </c>
      <c r="AC560" s="4">
        <v>236521</v>
      </c>
      <c r="AD560" s="4">
        <v>2932</v>
      </c>
      <c r="AE560" s="4">
        <v>24119</v>
      </c>
      <c r="AF560" s="4">
        <v>356146</v>
      </c>
      <c r="AG560" s="6">
        <v>16748</v>
      </c>
      <c r="AH560" s="6">
        <v>16709</v>
      </c>
      <c r="AI560" s="6">
        <v>39</v>
      </c>
      <c r="AL560" s="4">
        <v>1487</v>
      </c>
      <c r="AM560" s="4">
        <v>15978</v>
      </c>
      <c r="AN560" s="4">
        <v>1315</v>
      </c>
      <c r="AV560" s="4">
        <v>387</v>
      </c>
      <c r="AW560" s="4">
        <v>414</v>
      </c>
    </row>
    <row r="561" spans="1:49" x14ac:dyDescent="0.2">
      <c r="A561" s="1">
        <v>44166</v>
      </c>
      <c r="B561">
        <f t="shared" si="78"/>
        <v>14.45</v>
      </c>
      <c r="C561" s="1" t="s">
        <v>57</v>
      </c>
      <c r="D561" s="1" t="s">
        <v>62</v>
      </c>
      <c r="E561" s="1" t="s">
        <v>67</v>
      </c>
      <c r="F561" s="1" t="s">
        <v>53</v>
      </c>
      <c r="G561">
        <v>1090</v>
      </c>
      <c r="H561" s="4">
        <v>0.189999999999998</v>
      </c>
      <c r="I561" s="4">
        <v>119</v>
      </c>
      <c r="J561" s="4">
        <v>52</v>
      </c>
      <c r="K561" s="4">
        <v>52.09</v>
      </c>
      <c r="L561" s="4">
        <v>96</v>
      </c>
      <c r="M561" s="4">
        <v>43</v>
      </c>
      <c r="N561" s="4">
        <v>86</v>
      </c>
      <c r="O561" s="4">
        <v>43</v>
      </c>
      <c r="P561" s="4">
        <v>27.016506034386001</v>
      </c>
      <c r="Q561" s="4">
        <v>51.8826760012604</v>
      </c>
      <c r="R561" s="4">
        <v>33</v>
      </c>
      <c r="S561" s="7" t="s">
        <v>34</v>
      </c>
      <c r="T561" s="4">
        <v>284494</v>
      </c>
      <c r="U561" s="4">
        <v>582960</v>
      </c>
      <c r="V561" s="4">
        <v>2918</v>
      </c>
      <c r="W561" s="4">
        <v>121100</v>
      </c>
      <c r="X561" s="4">
        <v>178187</v>
      </c>
      <c r="Y561" s="4">
        <v>399950</v>
      </c>
      <c r="Z561" s="4">
        <v>120000</v>
      </c>
      <c r="AA561" s="4">
        <v>5923</v>
      </c>
      <c r="AB561" s="4">
        <v>89569</v>
      </c>
      <c r="AC561" s="4">
        <v>204744</v>
      </c>
      <c r="AD561" s="4">
        <v>2563</v>
      </c>
      <c r="AE561" s="4">
        <v>19501</v>
      </c>
      <c r="AF561" s="4">
        <v>316377</v>
      </c>
      <c r="AG561" s="6">
        <v>16745</v>
      </c>
      <c r="AH561" s="6">
        <v>16698</v>
      </c>
      <c r="AI561" s="6">
        <v>47</v>
      </c>
      <c r="AL561" s="4">
        <v>1491</v>
      </c>
      <c r="AM561" s="4">
        <v>16313</v>
      </c>
      <c r="AN561" s="4">
        <v>1351</v>
      </c>
      <c r="AV561" s="4">
        <v>400</v>
      </c>
      <c r="AW561" s="4">
        <v>425</v>
      </c>
    </row>
    <row r="562" spans="1:49" x14ac:dyDescent="0.2">
      <c r="A562" s="1">
        <v>44165</v>
      </c>
      <c r="B562">
        <f t="shared" si="78"/>
        <v>14.45</v>
      </c>
      <c r="C562" s="1" t="s">
        <v>57</v>
      </c>
      <c r="D562" s="1" t="s">
        <v>62</v>
      </c>
      <c r="E562" s="1" t="s">
        <v>67</v>
      </c>
      <c r="F562" s="1" t="s">
        <v>53</v>
      </c>
      <c r="G562">
        <v>1091</v>
      </c>
      <c r="H562" s="4">
        <v>6.0000000000002301E-2</v>
      </c>
      <c r="I562" s="4">
        <v>119</v>
      </c>
      <c r="J562" s="4">
        <v>51</v>
      </c>
      <c r="K562" s="4">
        <v>49</v>
      </c>
      <c r="L562" s="4">
        <v>90</v>
      </c>
      <c r="M562" s="4">
        <v>44</v>
      </c>
      <c r="N562" s="4">
        <v>84</v>
      </c>
      <c r="O562" s="4">
        <v>43</v>
      </c>
      <c r="P562" s="4">
        <v>26.748830312244401</v>
      </c>
      <c r="Q562" s="4">
        <v>50.881842593367203</v>
      </c>
      <c r="R562" s="4">
        <v>32</v>
      </c>
      <c r="S562" s="7" t="s">
        <v>35</v>
      </c>
      <c r="T562" s="4">
        <v>188808</v>
      </c>
      <c r="U562" s="4">
        <v>574395</v>
      </c>
      <c r="V562" s="4">
        <v>1674</v>
      </c>
      <c r="W562" s="4">
        <v>121100</v>
      </c>
      <c r="X562" s="4">
        <v>178165</v>
      </c>
      <c r="Y562" s="4">
        <v>390250</v>
      </c>
      <c r="Z562" s="4">
        <v>120000</v>
      </c>
      <c r="AA562" s="4">
        <v>7080</v>
      </c>
      <c r="AB562" s="4">
        <v>69807</v>
      </c>
      <c r="AC562" s="4">
        <v>130663</v>
      </c>
      <c r="AD562" s="4">
        <v>1674</v>
      </c>
      <c r="AE562" s="4">
        <v>17897</v>
      </c>
      <c r="AF562" s="4">
        <v>220041</v>
      </c>
      <c r="AG562" s="6">
        <v>18265</v>
      </c>
      <c r="AH562" s="6">
        <v>18230</v>
      </c>
      <c r="AI562" s="6">
        <v>35</v>
      </c>
      <c r="AL562" s="4">
        <v>1406</v>
      </c>
      <c r="AM562" s="4">
        <v>16566</v>
      </c>
      <c r="AN562" s="4">
        <v>1357</v>
      </c>
      <c r="AV562" s="4">
        <v>425</v>
      </c>
      <c r="AW562" s="4">
        <v>465</v>
      </c>
    </row>
    <row r="563" spans="1:49" x14ac:dyDescent="0.2">
      <c r="A563" s="1">
        <v>44164</v>
      </c>
      <c r="B563">
        <v>19.12</v>
      </c>
      <c r="C563" s="1" t="s">
        <v>57</v>
      </c>
      <c r="D563" s="1" t="s">
        <v>62</v>
      </c>
      <c r="E563" s="1" t="s">
        <v>67</v>
      </c>
      <c r="F563" s="1" t="s">
        <v>53</v>
      </c>
      <c r="G563">
        <v>1097</v>
      </c>
      <c r="H563" s="4">
        <v>3.0000000000001099E-2</v>
      </c>
      <c r="I563" s="4">
        <v>111</v>
      </c>
      <c r="J563" s="4">
        <v>68</v>
      </c>
      <c r="K563" s="4">
        <v>46.66</v>
      </c>
      <c r="L563" s="4">
        <v>97</v>
      </c>
      <c r="M563" s="4">
        <v>37</v>
      </c>
      <c r="N563" s="4">
        <v>79</v>
      </c>
      <c r="O563" s="4">
        <v>41</v>
      </c>
      <c r="P563" s="4">
        <v>23.502958417981699</v>
      </c>
      <c r="Q563" s="4">
        <v>43.634397512757701</v>
      </c>
      <c r="R563" s="4">
        <v>32</v>
      </c>
      <c r="S563" s="7" t="s">
        <v>35</v>
      </c>
      <c r="T563" s="4">
        <v>212504</v>
      </c>
      <c r="U563" s="4">
        <v>541159</v>
      </c>
      <c r="V563" s="4">
        <v>478</v>
      </c>
      <c r="W563" s="4">
        <v>121100</v>
      </c>
      <c r="X563" s="4">
        <v>177909</v>
      </c>
      <c r="Y563" s="4">
        <v>363250</v>
      </c>
      <c r="Z563" s="4">
        <v>120000</v>
      </c>
      <c r="AA563" s="4">
        <v>1100</v>
      </c>
      <c r="AB563" s="4">
        <v>59711</v>
      </c>
      <c r="AC563" s="4">
        <v>133585</v>
      </c>
      <c r="AD563" s="4">
        <v>478</v>
      </c>
      <c r="AE563" s="4">
        <v>26071</v>
      </c>
      <c r="AF563" s="4">
        <v>219845</v>
      </c>
      <c r="AG563" s="6">
        <v>10874</v>
      </c>
      <c r="AH563" s="6">
        <v>10854</v>
      </c>
      <c r="AI563" s="6">
        <v>20</v>
      </c>
      <c r="AL563" s="4">
        <v>1390</v>
      </c>
      <c r="AM563" s="4">
        <v>16314</v>
      </c>
      <c r="AN563" s="4">
        <v>1387</v>
      </c>
      <c r="AV563" s="4">
        <v>466</v>
      </c>
      <c r="AW563" s="4">
        <v>501</v>
      </c>
    </row>
    <row r="564" spans="1:49" x14ac:dyDescent="0.2">
      <c r="A564" s="1">
        <v>44163</v>
      </c>
      <c r="B564">
        <f>B563</f>
        <v>19.12</v>
      </c>
      <c r="C564" s="1" t="s">
        <v>57</v>
      </c>
      <c r="D564" s="1" t="s">
        <v>62</v>
      </c>
      <c r="E564" s="1" t="s">
        <v>67</v>
      </c>
      <c r="F564" s="1" t="s">
        <v>53</v>
      </c>
      <c r="G564">
        <v>1110</v>
      </c>
      <c r="H564" s="4">
        <v>0.510000000000005</v>
      </c>
      <c r="I564" s="4">
        <v>114</v>
      </c>
      <c r="J564" s="4">
        <v>70</v>
      </c>
      <c r="K564" s="4">
        <v>62.97</v>
      </c>
      <c r="L564" s="4">
        <v>84</v>
      </c>
      <c r="M564" s="4">
        <v>37</v>
      </c>
      <c r="N564" s="4">
        <v>84</v>
      </c>
      <c r="O564" s="4">
        <v>42</v>
      </c>
      <c r="P564" s="4">
        <v>22.2713078756756</v>
      </c>
      <c r="Q564" s="4">
        <v>43.176687893864703</v>
      </c>
      <c r="R564" s="4">
        <v>32</v>
      </c>
      <c r="S564" s="7" t="s">
        <v>35</v>
      </c>
      <c r="T564" s="4">
        <v>304148</v>
      </c>
      <c r="U564" s="4">
        <v>536262</v>
      </c>
      <c r="V564" s="4">
        <v>729</v>
      </c>
      <c r="W564" s="4">
        <v>121100</v>
      </c>
      <c r="X564" s="4">
        <v>177337</v>
      </c>
      <c r="Y564" s="4">
        <v>358925</v>
      </c>
      <c r="Z564" s="4">
        <v>120000</v>
      </c>
      <c r="AA564" s="4">
        <v>1100</v>
      </c>
      <c r="AB564" s="4">
        <v>72534</v>
      </c>
      <c r="AC564" s="4">
        <v>210867</v>
      </c>
      <c r="AD564" s="4">
        <v>729</v>
      </c>
      <c r="AE564" s="4">
        <v>27163</v>
      </c>
      <c r="AF564" s="4">
        <v>311293</v>
      </c>
      <c r="AG564" s="6">
        <v>11105</v>
      </c>
      <c r="AH564" s="6">
        <v>11085</v>
      </c>
      <c r="AI564" s="6">
        <v>20</v>
      </c>
      <c r="AL564" s="4">
        <v>1221</v>
      </c>
      <c r="AM564" s="4">
        <v>15986</v>
      </c>
      <c r="AN564" s="4">
        <v>1378</v>
      </c>
      <c r="AV564" s="4">
        <v>471</v>
      </c>
      <c r="AW564" s="4">
        <v>486</v>
      </c>
    </row>
    <row r="565" spans="1:49" x14ac:dyDescent="0.2">
      <c r="A565" s="1">
        <v>44162</v>
      </c>
      <c r="B565">
        <f t="shared" ref="B565:B569" si="79">B564</f>
        <v>19.12</v>
      </c>
      <c r="C565" s="1" t="s">
        <v>57</v>
      </c>
      <c r="D565" s="1" t="s">
        <v>62</v>
      </c>
      <c r="E565" s="1" t="s">
        <v>67</v>
      </c>
      <c r="F565" s="1" t="s">
        <v>53</v>
      </c>
      <c r="G565">
        <v>1105</v>
      </c>
      <c r="H565" s="4">
        <v>0.15999999999999701</v>
      </c>
      <c r="I565" s="4">
        <v>121</v>
      </c>
      <c r="J565" s="4">
        <v>51</v>
      </c>
      <c r="K565" s="4">
        <v>53.58</v>
      </c>
      <c r="L565" s="4">
        <v>86</v>
      </c>
      <c r="M565" s="4">
        <v>39</v>
      </c>
      <c r="N565" s="4">
        <v>88</v>
      </c>
      <c r="O565" s="4">
        <v>42</v>
      </c>
      <c r="P565" s="4">
        <v>25.086447202087701</v>
      </c>
      <c r="Q565" s="4">
        <v>49.026796559311798</v>
      </c>
      <c r="R565" s="4">
        <v>30</v>
      </c>
      <c r="S565" s="7" t="s">
        <v>35</v>
      </c>
      <c r="T565" s="4">
        <v>322242</v>
      </c>
      <c r="U565" s="4">
        <v>534326</v>
      </c>
      <c r="V565" s="4">
        <v>3564</v>
      </c>
      <c r="W565" s="4">
        <v>121100</v>
      </c>
      <c r="X565" s="4">
        <v>178226</v>
      </c>
      <c r="Y565" s="4">
        <v>356100</v>
      </c>
      <c r="Z565" s="4">
        <v>120000</v>
      </c>
      <c r="AA565" s="4">
        <v>1100</v>
      </c>
      <c r="AB565" s="4">
        <v>83472</v>
      </c>
      <c r="AC565" s="4">
        <v>221367</v>
      </c>
      <c r="AD565" s="4">
        <v>2757</v>
      </c>
      <c r="AE565" s="4">
        <v>29386</v>
      </c>
      <c r="AF565" s="4">
        <v>336982</v>
      </c>
      <c r="AG565" s="6">
        <v>14597</v>
      </c>
      <c r="AH565" s="6">
        <v>14568</v>
      </c>
      <c r="AI565" s="6">
        <v>29</v>
      </c>
      <c r="AL565" s="4">
        <v>1280</v>
      </c>
      <c r="AM565" s="4">
        <v>16572</v>
      </c>
      <c r="AN565" s="4">
        <v>1417</v>
      </c>
      <c r="AV565" s="4">
        <v>429</v>
      </c>
      <c r="AW565" s="4">
        <v>460</v>
      </c>
    </row>
    <row r="566" spans="1:49" x14ac:dyDescent="0.2">
      <c r="A566" s="1">
        <v>44161</v>
      </c>
      <c r="B566">
        <f t="shared" si="79"/>
        <v>19.12</v>
      </c>
      <c r="C566" s="1" t="s">
        <v>57</v>
      </c>
      <c r="D566" s="1" t="s">
        <v>62</v>
      </c>
      <c r="E566" s="1" t="s">
        <v>67</v>
      </c>
      <c r="F566" s="1" t="s">
        <v>53</v>
      </c>
      <c r="G566">
        <v>1110</v>
      </c>
      <c r="H566" s="4">
        <v>0.17000000000000201</v>
      </c>
      <c r="I566" s="4">
        <v>121</v>
      </c>
      <c r="J566" s="4">
        <v>50</v>
      </c>
      <c r="K566" s="4">
        <v>49.83</v>
      </c>
      <c r="L566" s="4">
        <v>97</v>
      </c>
      <c r="M566" s="4">
        <v>40</v>
      </c>
      <c r="N566" s="4">
        <v>85</v>
      </c>
      <c r="O566" s="4">
        <v>41</v>
      </c>
      <c r="P566" s="4">
        <v>25.089782146657999</v>
      </c>
      <c r="Q566" s="4">
        <v>49.535054997917896</v>
      </c>
      <c r="R566" s="4">
        <v>29</v>
      </c>
      <c r="S566" s="7" t="s">
        <v>35</v>
      </c>
      <c r="T566" s="4">
        <v>372557</v>
      </c>
      <c r="U566" s="4">
        <v>533800</v>
      </c>
      <c r="V566" s="4">
        <v>4424</v>
      </c>
      <c r="W566" s="4">
        <v>121100</v>
      </c>
      <c r="X566" s="4">
        <v>178200</v>
      </c>
      <c r="Y566" s="4">
        <v>355600</v>
      </c>
      <c r="Z566" s="4">
        <v>120000</v>
      </c>
      <c r="AA566" s="4">
        <v>1100</v>
      </c>
      <c r="AB566" s="4">
        <v>84213</v>
      </c>
      <c r="AC566" s="4">
        <v>266666</v>
      </c>
      <c r="AD566" s="4">
        <v>3521</v>
      </c>
      <c r="AE566" s="4">
        <v>31580</v>
      </c>
      <c r="AF566" s="4">
        <v>385980</v>
      </c>
      <c r="AG566" s="6">
        <v>14817</v>
      </c>
      <c r="AH566" s="6">
        <v>14781</v>
      </c>
      <c r="AI566" s="6">
        <v>36</v>
      </c>
      <c r="AL566" s="4">
        <v>1423</v>
      </c>
      <c r="AM566" s="4">
        <v>16763</v>
      </c>
      <c r="AN566" s="4">
        <v>1456</v>
      </c>
      <c r="AV566" s="4">
        <v>433</v>
      </c>
      <c r="AW566" s="4">
        <v>461</v>
      </c>
    </row>
    <row r="567" spans="1:49" x14ac:dyDescent="0.2">
      <c r="A567" s="1">
        <v>44160</v>
      </c>
      <c r="B567">
        <f t="shared" si="79"/>
        <v>19.12</v>
      </c>
      <c r="C567" s="1" t="s">
        <v>57</v>
      </c>
      <c r="D567" s="1" t="s">
        <v>62</v>
      </c>
      <c r="E567" s="1" t="s">
        <v>67</v>
      </c>
      <c r="F567" s="1" t="s">
        <v>53</v>
      </c>
      <c r="G567">
        <v>1128</v>
      </c>
      <c r="H567" s="4">
        <v>0.209999999999994</v>
      </c>
      <c r="I567" s="4">
        <v>121</v>
      </c>
      <c r="J567" s="4">
        <v>51</v>
      </c>
      <c r="K567" s="4">
        <v>48.94</v>
      </c>
      <c r="L567" s="4">
        <v>88</v>
      </c>
      <c r="M567" s="4">
        <v>38</v>
      </c>
      <c r="N567" s="4">
        <v>82</v>
      </c>
      <c r="O567" s="4">
        <v>41</v>
      </c>
      <c r="P567" s="4">
        <v>24.790009738121601</v>
      </c>
      <c r="Q567" s="4">
        <v>48.926993994614797</v>
      </c>
      <c r="R567" s="4">
        <v>29</v>
      </c>
      <c r="S567" s="7" t="s">
        <v>35</v>
      </c>
      <c r="T567" s="4">
        <v>346567</v>
      </c>
      <c r="U567" s="4">
        <v>534125</v>
      </c>
      <c r="V567" s="4">
        <v>3571</v>
      </c>
      <c r="W567" s="4">
        <v>121100</v>
      </c>
      <c r="X567" s="4">
        <v>178200</v>
      </c>
      <c r="Y567" s="4">
        <v>355925</v>
      </c>
      <c r="Z567" s="4">
        <v>120000</v>
      </c>
      <c r="AA567" s="4">
        <v>1100</v>
      </c>
      <c r="AB567" s="4">
        <v>90330</v>
      </c>
      <c r="AC567" s="4">
        <v>235738</v>
      </c>
      <c r="AD567" s="4">
        <v>2955</v>
      </c>
      <c r="AE567" s="4">
        <v>30464</v>
      </c>
      <c r="AF567" s="4">
        <v>359487</v>
      </c>
      <c r="AG567" s="6">
        <v>16857</v>
      </c>
      <c r="AH567" s="6">
        <v>16823</v>
      </c>
      <c r="AI567" s="6">
        <v>34</v>
      </c>
      <c r="AL567" s="4">
        <v>1613</v>
      </c>
      <c r="AM567" s="4">
        <v>17133</v>
      </c>
      <c r="AN567" s="4">
        <v>1480</v>
      </c>
      <c r="AV567" s="4">
        <v>488</v>
      </c>
      <c r="AW567" s="4">
        <v>499</v>
      </c>
    </row>
    <row r="568" spans="1:49" x14ac:dyDescent="0.2">
      <c r="A568" s="1">
        <v>44159</v>
      </c>
      <c r="B568">
        <f t="shared" si="79"/>
        <v>19.12</v>
      </c>
      <c r="C568" s="1" t="s">
        <v>57</v>
      </c>
      <c r="D568" s="1" t="s">
        <v>62</v>
      </c>
      <c r="E568" s="1" t="s">
        <v>67</v>
      </c>
      <c r="F568" s="1" t="s">
        <v>53</v>
      </c>
      <c r="G568">
        <v>1151</v>
      </c>
      <c r="H568" s="4">
        <v>3.0000000000001099E-2</v>
      </c>
      <c r="I568" s="4">
        <v>120</v>
      </c>
      <c r="J568" s="4">
        <v>49</v>
      </c>
      <c r="K568" s="4">
        <v>49.11</v>
      </c>
      <c r="L568" s="4">
        <v>99</v>
      </c>
      <c r="M568" s="4">
        <v>40</v>
      </c>
      <c r="N568" s="4">
        <v>84</v>
      </c>
      <c r="O568" s="4">
        <v>42</v>
      </c>
      <c r="P568" s="4">
        <v>25.1847895905459</v>
      </c>
      <c r="Q568" s="4">
        <v>49.975804902531898</v>
      </c>
      <c r="R568" s="4">
        <v>29</v>
      </c>
      <c r="S568" s="7" t="s">
        <v>35</v>
      </c>
      <c r="T568" s="4">
        <v>304848</v>
      </c>
      <c r="U568" s="4">
        <v>528125</v>
      </c>
      <c r="V568" s="4">
        <v>3037</v>
      </c>
      <c r="W568" s="4">
        <v>121100</v>
      </c>
      <c r="X568" s="4">
        <v>178200</v>
      </c>
      <c r="Y568" s="4">
        <v>349925</v>
      </c>
      <c r="Z568" s="4">
        <v>120000</v>
      </c>
      <c r="AA568" s="4">
        <v>1100</v>
      </c>
      <c r="AB568" s="4">
        <v>96147</v>
      </c>
      <c r="AC568" s="4">
        <v>193647</v>
      </c>
      <c r="AD568" s="4">
        <v>2862</v>
      </c>
      <c r="AE568" s="4">
        <v>23628</v>
      </c>
      <c r="AF568" s="4">
        <v>316284</v>
      </c>
      <c r="AG568" s="6">
        <v>16705</v>
      </c>
      <c r="AH568" s="6">
        <v>16668</v>
      </c>
      <c r="AI568" s="6">
        <v>37</v>
      </c>
      <c r="AL568" s="4">
        <v>1499</v>
      </c>
      <c r="AM568" s="4">
        <v>17425</v>
      </c>
      <c r="AN568" s="4">
        <v>1489</v>
      </c>
      <c r="AV568" s="4">
        <v>465</v>
      </c>
      <c r="AW568" s="4">
        <v>496</v>
      </c>
    </row>
    <row r="569" spans="1:49" x14ac:dyDescent="0.2">
      <c r="A569" s="1">
        <v>44158</v>
      </c>
      <c r="B569">
        <f t="shared" si="79"/>
        <v>19.12</v>
      </c>
      <c r="C569" s="1" t="s">
        <v>57</v>
      </c>
      <c r="D569" s="1" t="s">
        <v>62</v>
      </c>
      <c r="E569" s="1" t="s">
        <v>66</v>
      </c>
      <c r="F569" s="1" t="s">
        <v>53</v>
      </c>
      <c r="G569">
        <v>1165</v>
      </c>
      <c r="H569" s="4">
        <v>4.9999999999997199E-2</v>
      </c>
      <c r="I569" s="4">
        <v>120</v>
      </c>
      <c r="J569" s="4">
        <v>50</v>
      </c>
      <c r="K569" s="4">
        <v>47.52</v>
      </c>
      <c r="L569" s="4">
        <v>103</v>
      </c>
      <c r="M569" s="4">
        <v>42</v>
      </c>
      <c r="N569" s="4">
        <v>84</v>
      </c>
      <c r="O569" s="4">
        <v>42</v>
      </c>
      <c r="P569" s="4">
        <v>25.597065204840501</v>
      </c>
      <c r="Q569" s="4">
        <v>50.309720643474002</v>
      </c>
      <c r="R569" s="4">
        <v>31</v>
      </c>
      <c r="S569" s="7" t="s">
        <v>35</v>
      </c>
      <c r="T569" s="4">
        <v>204883</v>
      </c>
      <c r="U569" s="4">
        <v>525856</v>
      </c>
      <c r="V569" s="4">
        <v>2387</v>
      </c>
      <c r="W569" s="4">
        <v>121100</v>
      </c>
      <c r="X569" s="4">
        <v>176431</v>
      </c>
      <c r="Y569" s="4">
        <v>349425</v>
      </c>
      <c r="Z569" s="4">
        <v>120000</v>
      </c>
      <c r="AA569" s="4">
        <v>1100</v>
      </c>
      <c r="AB569" s="4">
        <v>72160</v>
      </c>
      <c r="AC569" s="4">
        <v>116831</v>
      </c>
      <c r="AD569" s="4">
        <v>2387</v>
      </c>
      <c r="AE569" s="4">
        <v>27216</v>
      </c>
      <c r="AF569" s="4">
        <v>218594</v>
      </c>
      <c r="AG569" s="6">
        <v>19083</v>
      </c>
      <c r="AH569" s="6">
        <v>19047</v>
      </c>
      <c r="AI569" s="6">
        <v>36</v>
      </c>
      <c r="AL569" s="4">
        <v>1590</v>
      </c>
      <c r="AM569" s="4">
        <v>17682</v>
      </c>
      <c r="AN569" s="4">
        <v>1487</v>
      </c>
      <c r="AV569" s="4">
        <v>465</v>
      </c>
      <c r="AW569" s="4">
        <v>508</v>
      </c>
    </row>
    <row r="570" spans="1:49" x14ac:dyDescent="0.2">
      <c r="A570" s="1">
        <v>44157</v>
      </c>
      <c r="B570">
        <v>20.27</v>
      </c>
      <c r="C570" s="1" t="s">
        <v>57</v>
      </c>
      <c r="D570" s="1" t="s">
        <v>62</v>
      </c>
      <c r="E570" s="1" t="s">
        <v>66</v>
      </c>
      <c r="F570" s="1" t="s">
        <v>53</v>
      </c>
      <c r="G570">
        <v>1200</v>
      </c>
      <c r="H570" s="4">
        <v>0.28000000000000103</v>
      </c>
      <c r="I570" s="4">
        <v>111</v>
      </c>
      <c r="J570" s="4">
        <v>67</v>
      </c>
      <c r="K570" s="4">
        <v>50.46</v>
      </c>
      <c r="L570" s="4">
        <v>124</v>
      </c>
      <c r="M570" s="4">
        <v>38</v>
      </c>
      <c r="N570" s="4">
        <v>82</v>
      </c>
      <c r="O570" s="4">
        <v>42</v>
      </c>
      <c r="P570" s="4">
        <v>23.6845813411039</v>
      </c>
      <c r="Q570" s="4">
        <v>44.465621189695099</v>
      </c>
      <c r="R570" s="4">
        <v>33</v>
      </c>
      <c r="S570" s="7" t="s">
        <v>35</v>
      </c>
      <c r="T570" s="4">
        <v>273015</v>
      </c>
      <c r="U570" s="4">
        <v>535906</v>
      </c>
      <c r="V570" s="4">
        <v>417</v>
      </c>
      <c r="W570" s="4">
        <v>121100</v>
      </c>
      <c r="X570" s="4">
        <v>175981</v>
      </c>
      <c r="Y570" s="4">
        <v>359925</v>
      </c>
      <c r="Z570" s="4">
        <v>120000</v>
      </c>
      <c r="AA570" s="4">
        <v>1100</v>
      </c>
      <c r="AB570" s="4">
        <v>59802</v>
      </c>
      <c r="AC570" s="4">
        <v>171975</v>
      </c>
      <c r="AD570" s="4">
        <v>417</v>
      </c>
      <c r="AE570" s="4">
        <v>46459</v>
      </c>
      <c r="AF570" s="4">
        <v>278653</v>
      </c>
      <c r="AG570" s="6">
        <v>11913</v>
      </c>
      <c r="AH570" s="6">
        <v>11898</v>
      </c>
      <c r="AI570" s="6">
        <v>15</v>
      </c>
      <c r="AL570" s="4">
        <v>1492</v>
      </c>
      <c r="AM570" s="4">
        <v>17265</v>
      </c>
      <c r="AN570" s="4">
        <v>1454</v>
      </c>
      <c r="AV570" s="4">
        <v>479</v>
      </c>
      <c r="AW570" s="4">
        <v>512</v>
      </c>
    </row>
    <row r="571" spans="1:49" x14ac:dyDescent="0.2">
      <c r="A571" s="1">
        <v>44156</v>
      </c>
      <c r="B571">
        <f>B570</f>
        <v>20.27</v>
      </c>
      <c r="C571" s="1" t="s">
        <v>57</v>
      </c>
      <c r="D571" s="1" t="s">
        <v>62</v>
      </c>
      <c r="E571" s="1" t="s">
        <v>66</v>
      </c>
      <c r="F571" s="1" t="s">
        <v>53</v>
      </c>
      <c r="G571">
        <v>1213</v>
      </c>
      <c r="H571" s="4">
        <v>1.05</v>
      </c>
      <c r="I571" s="4">
        <v>114</v>
      </c>
      <c r="J571" s="4">
        <v>68</v>
      </c>
      <c r="K571" s="4">
        <v>60.62</v>
      </c>
      <c r="L571" s="4">
        <v>86</v>
      </c>
      <c r="M571" s="4">
        <v>35</v>
      </c>
      <c r="N571" s="4">
        <v>84</v>
      </c>
      <c r="O571" s="4">
        <v>41</v>
      </c>
      <c r="P571" s="4">
        <v>20.699703971066398</v>
      </c>
      <c r="Q571" s="4">
        <v>42.262777905080597</v>
      </c>
      <c r="R571" s="4">
        <v>31</v>
      </c>
      <c r="S571" s="7" t="s">
        <v>35</v>
      </c>
      <c r="T571" s="4">
        <v>357359</v>
      </c>
      <c r="U571" s="4">
        <v>538088</v>
      </c>
      <c r="V571" s="4">
        <v>903</v>
      </c>
      <c r="W571" s="4">
        <v>121100</v>
      </c>
      <c r="X571" s="4">
        <v>176663</v>
      </c>
      <c r="Y571" s="4">
        <v>361425</v>
      </c>
      <c r="Z571" s="4">
        <v>120000</v>
      </c>
      <c r="AA571" s="4">
        <v>1100</v>
      </c>
      <c r="AB571" s="4">
        <v>74879</v>
      </c>
      <c r="AC571" s="4">
        <v>250462</v>
      </c>
      <c r="AD571" s="4">
        <v>903</v>
      </c>
      <c r="AE571" s="4">
        <v>38860</v>
      </c>
      <c r="AF571" s="4">
        <v>365104</v>
      </c>
      <c r="AG571" s="6">
        <v>12556</v>
      </c>
      <c r="AH571" s="6">
        <v>12541</v>
      </c>
      <c r="AI571" s="6">
        <v>15</v>
      </c>
      <c r="AL571" s="4">
        <v>1462</v>
      </c>
      <c r="AM571" s="4">
        <v>17064</v>
      </c>
      <c r="AN571" s="4">
        <v>1447</v>
      </c>
      <c r="AV571" s="4">
        <v>469</v>
      </c>
      <c r="AW571" s="4">
        <v>498</v>
      </c>
    </row>
    <row r="572" spans="1:49" x14ac:dyDescent="0.2">
      <c r="A572" s="1">
        <v>44155</v>
      </c>
      <c r="B572">
        <f t="shared" ref="B572:B576" si="80">B571</f>
        <v>20.27</v>
      </c>
      <c r="C572" s="1" t="s">
        <v>57</v>
      </c>
      <c r="D572" s="1" t="s">
        <v>62</v>
      </c>
      <c r="E572" s="1" t="s">
        <v>66</v>
      </c>
      <c r="F572" s="1" t="s">
        <v>53</v>
      </c>
      <c r="G572">
        <v>1234</v>
      </c>
      <c r="H572" s="4">
        <v>0.32999999999999802</v>
      </c>
      <c r="I572" s="4">
        <v>122</v>
      </c>
      <c r="J572" s="4">
        <v>51</v>
      </c>
      <c r="K572" s="4">
        <v>49.86</v>
      </c>
      <c r="L572" s="4">
        <v>75</v>
      </c>
      <c r="M572" s="4">
        <v>36</v>
      </c>
      <c r="N572" s="4">
        <v>87</v>
      </c>
      <c r="O572" s="4">
        <v>41</v>
      </c>
      <c r="P572" s="4">
        <v>23.894239856612799</v>
      </c>
      <c r="Q572" s="4">
        <v>48.746315271403397</v>
      </c>
      <c r="R572" s="4">
        <v>28</v>
      </c>
      <c r="S572" s="7" t="s">
        <v>35</v>
      </c>
      <c r="T572" s="4">
        <v>384873</v>
      </c>
      <c r="U572" s="4">
        <v>537326</v>
      </c>
      <c r="V572" s="4">
        <v>4214</v>
      </c>
      <c r="W572" s="4">
        <v>121100</v>
      </c>
      <c r="X572" s="4">
        <v>176901</v>
      </c>
      <c r="Y572" s="4">
        <v>360425</v>
      </c>
      <c r="Z572" s="4">
        <v>120000</v>
      </c>
      <c r="AA572" s="4">
        <v>1100</v>
      </c>
      <c r="AB572" s="4">
        <v>81822</v>
      </c>
      <c r="AC572" s="4">
        <v>274623</v>
      </c>
      <c r="AD572" s="4">
        <v>2952</v>
      </c>
      <c r="AE572" s="4">
        <v>38438</v>
      </c>
      <c r="AF572" s="4">
        <v>397835</v>
      </c>
      <c r="AG572" s="6">
        <v>17134</v>
      </c>
      <c r="AH572" s="6">
        <v>17100</v>
      </c>
      <c r="AI572" s="6">
        <v>34</v>
      </c>
      <c r="AL572" s="4">
        <v>1550</v>
      </c>
      <c r="AM572" s="4">
        <v>17185</v>
      </c>
      <c r="AN572" s="4">
        <v>1422</v>
      </c>
      <c r="AV572" s="4">
        <v>455</v>
      </c>
      <c r="AW572" s="4">
        <v>485</v>
      </c>
    </row>
    <row r="573" spans="1:49" x14ac:dyDescent="0.2">
      <c r="A573" s="1">
        <v>44154</v>
      </c>
      <c r="B573">
        <f t="shared" si="80"/>
        <v>20.27</v>
      </c>
      <c r="C573" s="1" t="s">
        <v>57</v>
      </c>
      <c r="D573" s="1" t="s">
        <v>62</v>
      </c>
      <c r="E573" s="1" t="s">
        <v>66</v>
      </c>
      <c r="F573" s="1" t="s">
        <v>53</v>
      </c>
      <c r="G573">
        <v>1254</v>
      </c>
      <c r="H573" s="4">
        <v>0.43000000000000699</v>
      </c>
      <c r="I573" s="4">
        <v>122</v>
      </c>
      <c r="J573" s="4">
        <v>49</v>
      </c>
      <c r="K573" s="4">
        <v>45.9</v>
      </c>
      <c r="L573" s="4">
        <v>85</v>
      </c>
      <c r="M573" s="4">
        <v>37</v>
      </c>
      <c r="N573" s="4">
        <v>84</v>
      </c>
      <c r="O573" s="4">
        <v>40</v>
      </c>
      <c r="P573" s="4">
        <v>24.026798822789999</v>
      </c>
      <c r="Q573" s="4">
        <v>48.887901791702802</v>
      </c>
      <c r="R573" s="4">
        <v>28</v>
      </c>
      <c r="S573" s="7" t="s">
        <v>35</v>
      </c>
      <c r="T573" s="4">
        <v>384748</v>
      </c>
      <c r="U573" s="4">
        <v>537771</v>
      </c>
      <c r="V573" s="4">
        <v>4493</v>
      </c>
      <c r="W573" s="4">
        <v>121100</v>
      </c>
      <c r="X573" s="4">
        <v>176971</v>
      </c>
      <c r="Y573" s="4">
        <v>360800</v>
      </c>
      <c r="Z573" s="4">
        <v>120000</v>
      </c>
      <c r="AA573" s="4">
        <v>1100</v>
      </c>
      <c r="AB573" s="4">
        <v>87782</v>
      </c>
      <c r="AC573" s="4">
        <v>268024</v>
      </c>
      <c r="AD573" s="4">
        <v>2912</v>
      </c>
      <c r="AE573" s="4">
        <v>39134</v>
      </c>
      <c r="AF573" s="4">
        <v>397852</v>
      </c>
      <c r="AG573" s="6">
        <v>18074</v>
      </c>
      <c r="AH573" s="6">
        <v>18042</v>
      </c>
      <c r="AI573" s="6">
        <v>32</v>
      </c>
      <c r="AL573" s="4">
        <v>1687</v>
      </c>
      <c r="AM573" s="4">
        <v>17460</v>
      </c>
      <c r="AN573" s="4">
        <v>1426</v>
      </c>
      <c r="AV573" s="4">
        <v>466</v>
      </c>
      <c r="AW573" s="4">
        <v>485</v>
      </c>
    </row>
    <row r="574" spans="1:49" x14ac:dyDescent="0.2">
      <c r="A574" s="1">
        <v>44153</v>
      </c>
      <c r="B574">
        <f t="shared" si="80"/>
        <v>20.27</v>
      </c>
      <c r="C574" s="1" t="s">
        <v>57</v>
      </c>
      <c r="D574" s="1" t="s">
        <v>62</v>
      </c>
      <c r="E574" s="1" t="s">
        <v>66</v>
      </c>
      <c r="F574" s="1" t="s">
        <v>53</v>
      </c>
      <c r="G574">
        <v>1277</v>
      </c>
      <c r="H574" s="4">
        <v>0.29000000000000598</v>
      </c>
      <c r="I574" s="4">
        <v>121</v>
      </c>
      <c r="J574" s="4">
        <v>50</v>
      </c>
      <c r="K574" s="4">
        <v>48.86</v>
      </c>
      <c r="L574" s="4">
        <v>94</v>
      </c>
      <c r="M574" s="4">
        <v>38</v>
      </c>
      <c r="N574" s="4">
        <v>83</v>
      </c>
      <c r="O574" s="4">
        <v>41</v>
      </c>
      <c r="P574" s="4">
        <v>24.190843993119302</v>
      </c>
      <c r="Q574" s="4">
        <v>49.321641205633398</v>
      </c>
      <c r="R574" s="4">
        <v>28</v>
      </c>
      <c r="S574" s="7" t="s">
        <v>35</v>
      </c>
      <c r="T574" s="4">
        <v>355888</v>
      </c>
      <c r="U574" s="4">
        <v>536471</v>
      </c>
      <c r="V574" s="4">
        <v>3136</v>
      </c>
      <c r="W574" s="4">
        <v>121100</v>
      </c>
      <c r="X574" s="4">
        <v>176971</v>
      </c>
      <c r="Y574" s="4">
        <v>359500</v>
      </c>
      <c r="Z574" s="4">
        <v>120000</v>
      </c>
      <c r="AA574" s="4">
        <v>1100</v>
      </c>
      <c r="AB574" s="4">
        <v>92123</v>
      </c>
      <c r="AC574" s="4">
        <v>244412</v>
      </c>
      <c r="AD574" s="4">
        <v>3072</v>
      </c>
      <c r="AE574" s="4">
        <v>27612</v>
      </c>
      <c r="AF574" s="4">
        <v>367219</v>
      </c>
      <c r="AG574" s="6">
        <v>21118</v>
      </c>
      <c r="AH574" s="6">
        <v>21075</v>
      </c>
      <c r="AI574" s="6">
        <v>43</v>
      </c>
      <c r="AL574" s="4">
        <v>1785</v>
      </c>
      <c r="AM574" s="4">
        <v>17487</v>
      </c>
      <c r="AN574" s="4">
        <v>1430</v>
      </c>
      <c r="AV574" s="4">
        <v>491</v>
      </c>
      <c r="AW574" s="4">
        <v>514</v>
      </c>
    </row>
    <row r="575" spans="1:49" x14ac:dyDescent="0.2">
      <c r="A575" s="1">
        <v>44152</v>
      </c>
      <c r="B575">
        <f t="shared" si="80"/>
        <v>20.27</v>
      </c>
      <c r="C575" s="1" t="s">
        <v>57</v>
      </c>
      <c r="D575" s="1" t="s">
        <v>62</v>
      </c>
      <c r="E575" s="1" t="s">
        <v>66</v>
      </c>
      <c r="F575" s="1" t="s">
        <v>53</v>
      </c>
      <c r="G575">
        <v>1330</v>
      </c>
      <c r="H575" s="4">
        <v>0.17000000000000201</v>
      </c>
      <c r="I575" s="4">
        <v>120</v>
      </c>
      <c r="J575" s="4">
        <v>49</v>
      </c>
      <c r="K575" s="4">
        <v>48.57</v>
      </c>
      <c r="L575" s="4">
        <v>96</v>
      </c>
      <c r="M575" s="4">
        <v>39</v>
      </c>
      <c r="N575" s="4">
        <v>84</v>
      </c>
      <c r="O575" s="4">
        <v>42</v>
      </c>
      <c r="P575" s="4">
        <v>24.444151892263601</v>
      </c>
      <c r="Q575" s="4">
        <v>49.690365778711197</v>
      </c>
      <c r="R575" s="4">
        <v>29</v>
      </c>
      <c r="S575" s="7" t="s">
        <v>35</v>
      </c>
      <c r="T575" s="4">
        <v>275510</v>
      </c>
      <c r="U575" s="4">
        <v>529691</v>
      </c>
      <c r="V575" s="4">
        <v>3188</v>
      </c>
      <c r="W575" s="4">
        <v>121100</v>
      </c>
      <c r="X575" s="4">
        <v>177891</v>
      </c>
      <c r="Y575" s="4">
        <v>351800</v>
      </c>
      <c r="Z575" s="4">
        <v>120000</v>
      </c>
      <c r="AA575" s="4">
        <v>1100</v>
      </c>
      <c r="AB575" s="4">
        <v>89599</v>
      </c>
      <c r="AC575" s="4">
        <v>184211</v>
      </c>
      <c r="AD575" s="4">
        <v>2832</v>
      </c>
      <c r="AE575" s="4">
        <v>12141</v>
      </c>
      <c r="AF575" s="4">
        <v>288783</v>
      </c>
      <c r="AG575" s="6">
        <v>23531</v>
      </c>
      <c r="AH575" s="6">
        <v>23494</v>
      </c>
      <c r="AI575" s="6">
        <v>37</v>
      </c>
      <c r="AL575" s="4">
        <v>1719</v>
      </c>
      <c r="AM575" s="4">
        <v>17440</v>
      </c>
      <c r="AN575" s="4">
        <v>1420</v>
      </c>
      <c r="AV575" s="4">
        <v>444</v>
      </c>
      <c r="AW575" s="4">
        <v>466</v>
      </c>
    </row>
    <row r="576" spans="1:49" x14ac:dyDescent="0.2">
      <c r="A576" s="1">
        <v>44151</v>
      </c>
      <c r="B576">
        <f t="shared" si="80"/>
        <v>20.27</v>
      </c>
      <c r="C576" s="1" t="s">
        <v>57</v>
      </c>
      <c r="D576" s="1" t="s">
        <v>62</v>
      </c>
      <c r="E576" s="1" t="s">
        <v>66</v>
      </c>
      <c r="F576" s="1" t="s">
        <v>53</v>
      </c>
      <c r="G576">
        <v>1390</v>
      </c>
      <c r="H576" s="4">
        <v>0.209999999999994</v>
      </c>
      <c r="I576" s="4">
        <v>120</v>
      </c>
      <c r="J576" s="4">
        <v>49</v>
      </c>
      <c r="K576" s="4">
        <v>45.86</v>
      </c>
      <c r="L576" s="4">
        <v>97</v>
      </c>
      <c r="M576" s="4">
        <v>41</v>
      </c>
      <c r="N576" s="4">
        <v>83</v>
      </c>
      <c r="O576" s="4">
        <v>42</v>
      </c>
      <c r="P576" s="4">
        <v>24.830357042860602</v>
      </c>
      <c r="Q576" s="4">
        <v>50.207587252571798</v>
      </c>
      <c r="R576" s="4">
        <v>30</v>
      </c>
      <c r="S576" s="7" t="s">
        <v>35</v>
      </c>
      <c r="T576" s="4">
        <v>227216</v>
      </c>
      <c r="U576" s="4">
        <v>519417</v>
      </c>
      <c r="V576" s="4">
        <v>2440</v>
      </c>
      <c r="W576" s="4">
        <v>121100</v>
      </c>
      <c r="X576" s="4">
        <v>177417</v>
      </c>
      <c r="Y576" s="4">
        <v>342000</v>
      </c>
      <c r="Z576" s="4">
        <v>120000</v>
      </c>
      <c r="AA576" s="4">
        <v>1100</v>
      </c>
      <c r="AB576" s="4">
        <v>71644</v>
      </c>
      <c r="AC576" s="4">
        <v>148910</v>
      </c>
      <c r="AD576" s="4">
        <v>2440</v>
      </c>
      <c r="AE576" s="4">
        <v>16939</v>
      </c>
      <c r="AF576" s="4">
        <v>239933</v>
      </c>
      <c r="AG576" s="6">
        <v>27006</v>
      </c>
      <c r="AH576" s="6">
        <v>26969</v>
      </c>
      <c r="AI576" s="6">
        <v>37</v>
      </c>
      <c r="AL576" s="4">
        <v>1771</v>
      </c>
      <c r="AM576" s="4">
        <v>17314</v>
      </c>
      <c r="AN576" s="4">
        <v>1391</v>
      </c>
      <c r="AV576" s="4">
        <v>424</v>
      </c>
      <c r="AW576" s="4">
        <v>431</v>
      </c>
    </row>
    <row r="577" spans="1:49" x14ac:dyDescent="0.2">
      <c r="A577" s="1">
        <v>44150</v>
      </c>
      <c r="B577">
        <v>17.96</v>
      </c>
      <c r="C577" s="1" t="s">
        <v>57</v>
      </c>
      <c r="D577" s="1" t="s">
        <v>62</v>
      </c>
      <c r="E577" s="1" t="s">
        <v>66</v>
      </c>
      <c r="F577" s="1" t="s">
        <v>53</v>
      </c>
      <c r="G577">
        <v>1451</v>
      </c>
      <c r="H577" s="4">
        <v>0.62999999999999501</v>
      </c>
      <c r="I577" s="4">
        <v>112</v>
      </c>
      <c r="J577" s="4">
        <v>64</v>
      </c>
      <c r="K577" s="4">
        <v>41.56</v>
      </c>
      <c r="L577" s="4">
        <v>91</v>
      </c>
      <c r="M577" s="4">
        <v>34</v>
      </c>
      <c r="N577" s="4">
        <v>78</v>
      </c>
      <c r="O577" s="4">
        <v>39</v>
      </c>
      <c r="P577" s="4">
        <v>21.167470398719502</v>
      </c>
      <c r="Q577" s="4">
        <v>41.523187243376</v>
      </c>
      <c r="R577" s="4">
        <v>29</v>
      </c>
      <c r="S577" s="7" t="s">
        <v>35</v>
      </c>
      <c r="T577" s="4">
        <v>278195</v>
      </c>
      <c r="U577" s="4">
        <v>504595</v>
      </c>
      <c r="V577" s="4">
        <v>796</v>
      </c>
      <c r="W577" s="4">
        <v>121100</v>
      </c>
      <c r="X577" s="4">
        <v>176995</v>
      </c>
      <c r="Y577" s="4">
        <v>327600</v>
      </c>
      <c r="Z577" s="4">
        <v>120000</v>
      </c>
      <c r="AA577" s="4">
        <v>1100</v>
      </c>
      <c r="AB577" s="4">
        <v>62767</v>
      </c>
      <c r="AC577" s="4">
        <v>201208</v>
      </c>
      <c r="AD577" s="4">
        <v>796</v>
      </c>
      <c r="AE577" s="4">
        <v>19821</v>
      </c>
      <c r="AF577" s="4">
        <v>284592</v>
      </c>
      <c r="AG577" s="6">
        <v>16258</v>
      </c>
      <c r="AH577" s="6">
        <v>16243</v>
      </c>
      <c r="AI577" s="6">
        <v>15</v>
      </c>
      <c r="AL577" s="4">
        <v>1673</v>
      </c>
      <c r="AM577" s="4">
        <v>16865</v>
      </c>
      <c r="AN577" s="4">
        <v>1397</v>
      </c>
      <c r="AV577" s="4">
        <v>456</v>
      </c>
      <c r="AW577" s="4">
        <v>457</v>
      </c>
    </row>
    <row r="578" spans="1:49" x14ac:dyDescent="0.2">
      <c r="A578" s="1">
        <v>44149</v>
      </c>
      <c r="B578">
        <f>B577</f>
        <v>17.96</v>
      </c>
      <c r="C578" s="1" t="s">
        <v>57</v>
      </c>
      <c r="D578" s="1" t="s">
        <v>62</v>
      </c>
      <c r="E578" s="1" t="s">
        <v>66</v>
      </c>
      <c r="F578" s="1" t="s">
        <v>53</v>
      </c>
      <c r="G578">
        <v>1495</v>
      </c>
      <c r="H578" s="4">
        <v>1.31</v>
      </c>
      <c r="I578" s="4">
        <v>116</v>
      </c>
      <c r="J578" s="4">
        <v>65</v>
      </c>
      <c r="K578" s="4">
        <v>47.59</v>
      </c>
      <c r="L578" s="4">
        <v>54</v>
      </c>
      <c r="M578" s="4">
        <v>31</v>
      </c>
      <c r="N578" s="4">
        <v>79</v>
      </c>
      <c r="O578" s="4">
        <v>36</v>
      </c>
      <c r="P578" s="4">
        <v>17.904256054932201</v>
      </c>
      <c r="Q578" s="4">
        <v>38.408762770188602</v>
      </c>
      <c r="R578" s="4">
        <v>26</v>
      </c>
      <c r="S578" s="7" t="s">
        <v>35</v>
      </c>
      <c r="T578" s="4">
        <v>334670</v>
      </c>
      <c r="U578" s="4">
        <v>514418</v>
      </c>
      <c r="V578" s="4">
        <v>895</v>
      </c>
      <c r="W578" s="4">
        <v>121100</v>
      </c>
      <c r="X578" s="4">
        <v>176418</v>
      </c>
      <c r="Y578" s="4">
        <v>338000</v>
      </c>
      <c r="Z578" s="4">
        <v>120000</v>
      </c>
      <c r="AA578" s="4">
        <v>1100</v>
      </c>
      <c r="AB578" s="4">
        <v>73943</v>
      </c>
      <c r="AC578" s="4">
        <v>254629</v>
      </c>
      <c r="AD578" s="4">
        <v>895</v>
      </c>
      <c r="AE578" s="4">
        <v>13111</v>
      </c>
      <c r="AF578" s="4">
        <v>342578</v>
      </c>
      <c r="AG578" s="6">
        <v>18258</v>
      </c>
      <c r="AH578" s="6">
        <v>18238</v>
      </c>
      <c r="AI578" s="6">
        <v>20</v>
      </c>
      <c r="AL578" s="4">
        <v>1616</v>
      </c>
      <c r="AM578" s="4">
        <v>16300</v>
      </c>
      <c r="AN578" s="4">
        <v>1365</v>
      </c>
      <c r="AV578" s="4">
        <v>436</v>
      </c>
      <c r="AW578" s="4">
        <v>459</v>
      </c>
    </row>
    <row r="579" spans="1:49" x14ac:dyDescent="0.2">
      <c r="A579" s="1">
        <v>44148</v>
      </c>
      <c r="B579">
        <f t="shared" ref="B579:B583" si="81">B578</f>
        <v>17.96</v>
      </c>
      <c r="C579" s="1" t="s">
        <v>57</v>
      </c>
      <c r="D579" s="1" t="s">
        <v>62</v>
      </c>
      <c r="E579" s="1" t="s">
        <v>66</v>
      </c>
      <c r="F579" s="1" t="s">
        <v>53</v>
      </c>
      <c r="G579">
        <v>1578</v>
      </c>
      <c r="H579" s="4">
        <v>0.65999999999999703</v>
      </c>
      <c r="I579" s="4">
        <v>121</v>
      </c>
      <c r="J579" s="4">
        <v>51</v>
      </c>
      <c r="K579" s="4">
        <v>52.87</v>
      </c>
      <c r="L579" s="4">
        <v>94</v>
      </c>
      <c r="M579" s="4">
        <v>37</v>
      </c>
      <c r="N579" s="4">
        <v>89</v>
      </c>
      <c r="O579" s="4">
        <v>42</v>
      </c>
      <c r="P579" s="4">
        <v>23.5902051622712</v>
      </c>
      <c r="Q579" s="4">
        <v>49.329851212463502</v>
      </c>
      <c r="R579" s="4">
        <v>28</v>
      </c>
      <c r="S579" s="7" t="s">
        <v>35</v>
      </c>
      <c r="T579" s="4">
        <v>371574</v>
      </c>
      <c r="U579" s="4">
        <v>520135</v>
      </c>
      <c r="V579" s="4">
        <v>3806</v>
      </c>
      <c r="W579" s="4">
        <v>121100</v>
      </c>
      <c r="X579" s="4">
        <v>176735</v>
      </c>
      <c r="Y579" s="4">
        <v>343400</v>
      </c>
      <c r="Z579" s="4">
        <v>120000</v>
      </c>
      <c r="AA579" s="4">
        <v>1100</v>
      </c>
      <c r="AB579" s="4">
        <v>85158</v>
      </c>
      <c r="AC579" s="4">
        <v>278448</v>
      </c>
      <c r="AD579" s="4">
        <v>2802</v>
      </c>
      <c r="AE579" s="4">
        <v>18904</v>
      </c>
      <c r="AF579" s="4">
        <v>385312</v>
      </c>
      <c r="AG579" s="6">
        <v>24438</v>
      </c>
      <c r="AH579" s="6">
        <v>24407</v>
      </c>
      <c r="AI579" s="6">
        <v>31</v>
      </c>
      <c r="AL579" s="4">
        <v>1652</v>
      </c>
      <c r="AM579" s="4">
        <v>16237</v>
      </c>
      <c r="AN579" s="4">
        <v>1355</v>
      </c>
      <c r="AV579" s="4">
        <v>438</v>
      </c>
      <c r="AW579" s="4">
        <v>450</v>
      </c>
    </row>
    <row r="580" spans="1:49" x14ac:dyDescent="0.2">
      <c r="A580" s="1">
        <v>44147</v>
      </c>
      <c r="B580">
        <f t="shared" si="81"/>
        <v>17.96</v>
      </c>
      <c r="C580" s="1" t="s">
        <v>57</v>
      </c>
      <c r="D580" s="1" t="s">
        <v>62</v>
      </c>
      <c r="E580" s="1" t="s">
        <v>66</v>
      </c>
      <c r="F580" s="1" t="s">
        <v>53</v>
      </c>
      <c r="G580">
        <v>1646</v>
      </c>
      <c r="H580" s="4">
        <v>0.70000000000000295</v>
      </c>
      <c r="I580" s="4">
        <v>121</v>
      </c>
      <c r="J580" s="4">
        <v>49</v>
      </c>
      <c r="K580" s="4">
        <v>50.42</v>
      </c>
      <c r="L580" s="4">
        <v>106</v>
      </c>
      <c r="M580" s="4">
        <v>39</v>
      </c>
      <c r="N580" s="4">
        <v>87</v>
      </c>
      <c r="O580" s="4">
        <v>41</v>
      </c>
      <c r="P580" s="4">
        <v>23.9551196119588</v>
      </c>
      <c r="Q580" s="4">
        <v>49.6822304792747</v>
      </c>
      <c r="R580" s="4">
        <v>28</v>
      </c>
      <c r="S580" s="7" t="s">
        <v>35</v>
      </c>
      <c r="T580" s="4">
        <v>367737</v>
      </c>
      <c r="U580" s="4">
        <v>519951</v>
      </c>
      <c r="V580" s="4">
        <v>4044</v>
      </c>
      <c r="W580" s="4">
        <v>121100</v>
      </c>
      <c r="X580" s="4">
        <v>176651</v>
      </c>
      <c r="Y580" s="4">
        <v>343300</v>
      </c>
      <c r="Z580" s="4">
        <v>120000</v>
      </c>
      <c r="AA580" s="4">
        <v>1100</v>
      </c>
      <c r="AB580" s="4">
        <v>87497</v>
      </c>
      <c r="AC580" s="4">
        <v>273346</v>
      </c>
      <c r="AD580" s="4">
        <v>3694</v>
      </c>
      <c r="AE580" s="4">
        <v>18014</v>
      </c>
      <c r="AF580" s="4">
        <v>382551</v>
      </c>
      <c r="AG580" s="6">
        <v>24876</v>
      </c>
      <c r="AH580" s="6">
        <v>24837</v>
      </c>
      <c r="AI580" s="6">
        <v>39</v>
      </c>
      <c r="AL580" s="4">
        <v>1918</v>
      </c>
      <c r="AM580" s="4">
        <v>15880</v>
      </c>
      <c r="AN580" s="4">
        <v>1275</v>
      </c>
      <c r="AV580" s="4">
        <v>423</v>
      </c>
      <c r="AW580" s="4">
        <v>430</v>
      </c>
    </row>
    <row r="581" spans="1:49" x14ac:dyDescent="0.2">
      <c r="A581" s="1">
        <v>44146</v>
      </c>
      <c r="B581">
        <f t="shared" si="81"/>
        <v>17.96</v>
      </c>
      <c r="C581" s="1" t="s">
        <v>57</v>
      </c>
      <c r="D581" s="1" t="s">
        <v>62</v>
      </c>
      <c r="E581" s="1" t="s">
        <v>66</v>
      </c>
      <c r="F581" s="1" t="s">
        <v>53</v>
      </c>
      <c r="G581">
        <v>1731</v>
      </c>
      <c r="H581" s="4">
        <v>0.40999999999999698</v>
      </c>
      <c r="I581" s="4">
        <v>121</v>
      </c>
      <c r="J581" s="4">
        <v>50</v>
      </c>
      <c r="K581" s="4">
        <v>49.05</v>
      </c>
      <c r="L581" s="4">
        <v>93</v>
      </c>
      <c r="M581" s="4">
        <v>38</v>
      </c>
      <c r="N581" s="4">
        <v>83</v>
      </c>
      <c r="O581" s="4">
        <v>41</v>
      </c>
      <c r="P581" s="4">
        <v>23.900744758504999</v>
      </c>
      <c r="Q581" s="4">
        <v>49.047802358434602</v>
      </c>
      <c r="R581" s="4">
        <v>28</v>
      </c>
      <c r="S581" s="7" t="s">
        <v>35</v>
      </c>
      <c r="T581" s="4">
        <v>365144</v>
      </c>
      <c r="U581" s="4">
        <v>518957</v>
      </c>
      <c r="V581" s="4">
        <v>4035</v>
      </c>
      <c r="W581" s="4">
        <v>121100</v>
      </c>
      <c r="X581" s="4">
        <v>176557</v>
      </c>
      <c r="Y581" s="4">
        <v>342400</v>
      </c>
      <c r="Z581" s="4">
        <v>120000</v>
      </c>
      <c r="AA581" s="4">
        <v>1100</v>
      </c>
      <c r="AB581" s="4">
        <v>89809</v>
      </c>
      <c r="AC581" s="4">
        <v>263690</v>
      </c>
      <c r="AD581" s="4">
        <v>3498</v>
      </c>
      <c r="AE581" s="4">
        <v>24762</v>
      </c>
      <c r="AF581" s="4">
        <v>381759</v>
      </c>
      <c r="AG581" s="6">
        <v>27792</v>
      </c>
      <c r="AH581" s="6">
        <v>27749</v>
      </c>
      <c r="AI581" s="6">
        <v>43</v>
      </c>
      <c r="AL581" s="4">
        <v>1973</v>
      </c>
      <c r="AM581" s="4">
        <v>15667</v>
      </c>
      <c r="AN581" s="4">
        <v>1268</v>
      </c>
      <c r="AV581" s="4">
        <v>391</v>
      </c>
      <c r="AW581" s="4">
        <v>409</v>
      </c>
    </row>
    <row r="582" spans="1:49" x14ac:dyDescent="0.2">
      <c r="A582" s="1">
        <v>44145</v>
      </c>
      <c r="B582">
        <f t="shared" si="81"/>
        <v>17.96</v>
      </c>
      <c r="C582" s="1" t="s">
        <v>57</v>
      </c>
      <c r="D582" s="1" t="s">
        <v>62</v>
      </c>
      <c r="E582" s="1" t="s">
        <v>66</v>
      </c>
      <c r="F582" s="1" t="s">
        <v>53</v>
      </c>
      <c r="G582">
        <v>1834</v>
      </c>
      <c r="H582" s="4">
        <v>0.59999999999999398</v>
      </c>
      <c r="I582" s="4">
        <v>120</v>
      </c>
      <c r="J582" s="4">
        <v>49</v>
      </c>
      <c r="K582" s="4">
        <v>50.01</v>
      </c>
      <c r="L582" s="4">
        <v>104</v>
      </c>
      <c r="M582" s="4">
        <v>39</v>
      </c>
      <c r="N582" s="4">
        <v>84</v>
      </c>
      <c r="O582" s="4">
        <v>42</v>
      </c>
      <c r="P582" s="4">
        <v>24.101070231294798</v>
      </c>
      <c r="Q582" s="4">
        <v>49.917969000863003</v>
      </c>
      <c r="R582" s="4">
        <v>29</v>
      </c>
      <c r="S582" s="7" t="s">
        <v>35</v>
      </c>
      <c r="T582" s="4">
        <v>293274</v>
      </c>
      <c r="U582" s="4">
        <v>511451</v>
      </c>
      <c r="V582" s="4">
        <v>5298</v>
      </c>
      <c r="W582" s="4">
        <v>121100</v>
      </c>
      <c r="X582" s="4">
        <v>176651</v>
      </c>
      <c r="Y582" s="4">
        <v>334800</v>
      </c>
      <c r="Z582" s="4">
        <v>120000</v>
      </c>
      <c r="AA582" s="4">
        <v>1100</v>
      </c>
      <c r="AB582" s="4">
        <v>88971</v>
      </c>
      <c r="AC582" s="4">
        <v>197430</v>
      </c>
      <c r="AD582" s="4">
        <v>3590</v>
      </c>
      <c r="AE582" s="4">
        <v>21005</v>
      </c>
      <c r="AF582" s="4">
        <v>310996</v>
      </c>
      <c r="AG582" s="6">
        <v>27828</v>
      </c>
      <c r="AH582" s="6">
        <v>27782</v>
      </c>
      <c r="AI582" s="6">
        <v>46</v>
      </c>
      <c r="AL582" s="4">
        <v>1855</v>
      </c>
      <c r="AM582" s="4">
        <v>14965</v>
      </c>
      <c r="AN582" s="4">
        <v>1219</v>
      </c>
      <c r="AV582" s="4">
        <v>392</v>
      </c>
      <c r="AW582" s="4">
        <v>410</v>
      </c>
    </row>
    <row r="583" spans="1:49" x14ac:dyDescent="0.2">
      <c r="A583" s="1">
        <v>44144</v>
      </c>
      <c r="B583">
        <f t="shared" si="81"/>
        <v>17.96</v>
      </c>
      <c r="C583" s="1" t="s">
        <v>57</v>
      </c>
      <c r="D583" s="1" t="s">
        <v>62</v>
      </c>
      <c r="E583" s="1" t="s">
        <v>66</v>
      </c>
      <c r="F583" s="1" t="s">
        <v>53</v>
      </c>
      <c r="G583">
        <v>1923</v>
      </c>
      <c r="H583" s="4">
        <v>0.12999999999999501</v>
      </c>
      <c r="I583" s="4">
        <v>120</v>
      </c>
      <c r="J583" s="4">
        <v>49</v>
      </c>
      <c r="K583" s="4">
        <v>47.35</v>
      </c>
      <c r="L583" s="4">
        <v>104</v>
      </c>
      <c r="M583" s="4">
        <v>41</v>
      </c>
      <c r="N583" s="4">
        <v>81</v>
      </c>
      <c r="O583" s="4">
        <v>42</v>
      </c>
      <c r="P583" s="4">
        <v>24.500053738471902</v>
      </c>
      <c r="Q583" s="4">
        <v>50.227825511385099</v>
      </c>
      <c r="R583" s="4">
        <v>30</v>
      </c>
      <c r="S583" s="7" t="s">
        <v>35</v>
      </c>
      <c r="T583" s="4">
        <v>236819</v>
      </c>
      <c r="U583" s="4">
        <v>504491</v>
      </c>
      <c r="V583" s="4">
        <v>7046</v>
      </c>
      <c r="W583" s="4">
        <v>121100</v>
      </c>
      <c r="X583" s="4">
        <v>176591</v>
      </c>
      <c r="Y583" s="4">
        <v>327900</v>
      </c>
      <c r="Z583" s="4">
        <v>120000</v>
      </c>
      <c r="AA583" s="4">
        <v>1100</v>
      </c>
      <c r="AB583" s="4">
        <v>71057</v>
      </c>
      <c r="AC583" s="4">
        <v>160066</v>
      </c>
      <c r="AD583" s="4">
        <v>2787</v>
      </c>
      <c r="AE583" s="4">
        <v>19121</v>
      </c>
      <c r="AF583" s="4">
        <v>253031</v>
      </c>
      <c r="AG583" s="6">
        <v>31556</v>
      </c>
      <c r="AH583" s="6">
        <v>31503</v>
      </c>
      <c r="AI583" s="6">
        <v>53</v>
      </c>
      <c r="AL583" s="4">
        <v>1766</v>
      </c>
      <c r="AM583" s="4">
        <v>15142</v>
      </c>
      <c r="AN583" s="4">
        <v>1271</v>
      </c>
      <c r="AV583" s="4">
        <v>486</v>
      </c>
      <c r="AW583" s="4">
        <v>493</v>
      </c>
    </row>
    <row r="584" spans="1:49" x14ac:dyDescent="0.2">
      <c r="A584" s="1">
        <v>44143</v>
      </c>
      <c r="B584">
        <v>14.05</v>
      </c>
      <c r="C584" s="1" t="s">
        <v>57</v>
      </c>
      <c r="D584" s="1" t="s">
        <v>62</v>
      </c>
      <c r="E584" s="1" t="s">
        <v>66</v>
      </c>
      <c r="F584" s="1" t="s">
        <v>53</v>
      </c>
      <c r="G584">
        <v>2000</v>
      </c>
      <c r="H584" s="4">
        <v>0.84999999999999398</v>
      </c>
      <c r="I584" s="4">
        <v>112</v>
      </c>
      <c r="J584" s="4">
        <v>65</v>
      </c>
      <c r="K584" s="4">
        <v>44.93</v>
      </c>
      <c r="L584" s="4">
        <v>107</v>
      </c>
      <c r="M584" s="4">
        <v>34</v>
      </c>
      <c r="N584" s="4">
        <v>77</v>
      </c>
      <c r="O584" s="4">
        <v>38</v>
      </c>
      <c r="P584" s="4">
        <v>19.0219230742922</v>
      </c>
      <c r="Q584" s="4">
        <v>39.705970895977003</v>
      </c>
      <c r="R584" s="4">
        <v>28</v>
      </c>
      <c r="S584" s="7" t="s">
        <v>35</v>
      </c>
      <c r="T584" s="4">
        <v>275376</v>
      </c>
      <c r="U584" s="4">
        <v>517957</v>
      </c>
      <c r="V584" s="4">
        <v>2967</v>
      </c>
      <c r="W584" s="4">
        <v>121100</v>
      </c>
      <c r="X584" s="4">
        <v>175457</v>
      </c>
      <c r="Y584" s="4">
        <v>342500</v>
      </c>
      <c r="Z584" s="4">
        <v>120000</v>
      </c>
      <c r="AA584" s="4">
        <v>1100</v>
      </c>
      <c r="AB584" s="4">
        <v>61956</v>
      </c>
      <c r="AC584" s="4">
        <v>199582</v>
      </c>
      <c r="AD584" s="4">
        <v>629</v>
      </c>
      <c r="AE584" s="4">
        <v>22575</v>
      </c>
      <c r="AF584" s="4">
        <v>284742</v>
      </c>
      <c r="AG584" s="6">
        <v>20252</v>
      </c>
      <c r="AH584" s="6">
        <v>20228</v>
      </c>
      <c r="AI584" s="6">
        <v>24</v>
      </c>
      <c r="AL584" s="4">
        <v>1692</v>
      </c>
      <c r="AM584" s="4">
        <v>14547</v>
      </c>
      <c r="AN584" s="4">
        <v>1232</v>
      </c>
      <c r="AV584" s="4">
        <v>418</v>
      </c>
      <c r="AW584" s="4">
        <v>433</v>
      </c>
    </row>
    <row r="585" spans="1:49" x14ac:dyDescent="0.2">
      <c r="A585" s="1">
        <v>44142</v>
      </c>
      <c r="B585">
        <f>B584</f>
        <v>14.05</v>
      </c>
      <c r="C585" s="1" t="s">
        <v>57</v>
      </c>
      <c r="D585" s="1" t="s">
        <v>62</v>
      </c>
      <c r="E585" s="1" t="s">
        <v>66</v>
      </c>
      <c r="F585" s="1" t="s">
        <v>53</v>
      </c>
      <c r="G585">
        <v>2054</v>
      </c>
      <c r="H585" s="4">
        <v>2.9300000000000099</v>
      </c>
      <c r="I585" s="4">
        <v>115</v>
      </c>
      <c r="J585" s="4">
        <v>67</v>
      </c>
      <c r="K585" s="4">
        <v>58.68</v>
      </c>
      <c r="L585" s="4">
        <v>102</v>
      </c>
      <c r="M585" s="4">
        <v>34</v>
      </c>
      <c r="N585" s="4">
        <v>82</v>
      </c>
      <c r="O585" s="4">
        <v>38</v>
      </c>
      <c r="P585" s="4">
        <v>17.855936022352299</v>
      </c>
      <c r="Q585" s="4">
        <v>39.122866424157102</v>
      </c>
      <c r="R585" s="4">
        <v>26</v>
      </c>
      <c r="S585" s="7" t="s">
        <v>35</v>
      </c>
      <c r="T585" s="4">
        <v>320153</v>
      </c>
      <c r="U585" s="4">
        <v>527761</v>
      </c>
      <c r="V585" s="4">
        <v>3099</v>
      </c>
      <c r="W585" s="4">
        <v>121100</v>
      </c>
      <c r="X585" s="4">
        <v>175761</v>
      </c>
      <c r="Y585" s="4">
        <v>352000</v>
      </c>
      <c r="Z585" s="4">
        <v>120000</v>
      </c>
      <c r="AA585" s="4">
        <v>1100</v>
      </c>
      <c r="AB585" s="4">
        <v>69479</v>
      </c>
      <c r="AC585" s="4">
        <v>237923</v>
      </c>
      <c r="AD585" s="4">
        <v>866</v>
      </c>
      <c r="AE585" s="4">
        <v>22371</v>
      </c>
      <c r="AF585" s="4">
        <v>330639</v>
      </c>
      <c r="AG585" s="6">
        <v>18784</v>
      </c>
      <c r="AH585" s="6">
        <v>18767</v>
      </c>
      <c r="AI585" s="6">
        <v>17</v>
      </c>
      <c r="AL585" s="4">
        <v>1559</v>
      </c>
      <c r="AM585" s="4">
        <v>14315</v>
      </c>
      <c r="AN585" s="4">
        <v>1207</v>
      </c>
      <c r="AV585" s="4">
        <v>394</v>
      </c>
      <c r="AW585" s="4">
        <v>417</v>
      </c>
    </row>
    <row r="586" spans="1:49" x14ac:dyDescent="0.2">
      <c r="A586" s="1">
        <v>44141</v>
      </c>
      <c r="B586">
        <f t="shared" ref="B586:B590" si="82">B585</f>
        <v>14.05</v>
      </c>
      <c r="C586" s="1" t="s">
        <v>57</v>
      </c>
      <c r="D586" s="1" t="s">
        <v>62</v>
      </c>
      <c r="E586" s="1" t="s">
        <v>66</v>
      </c>
      <c r="F586" s="1" t="s">
        <v>53</v>
      </c>
      <c r="G586">
        <v>2055</v>
      </c>
      <c r="H586" s="4">
        <v>1.22</v>
      </c>
      <c r="I586" s="4">
        <v>122</v>
      </c>
      <c r="J586" s="4">
        <v>51</v>
      </c>
      <c r="K586" s="4">
        <v>47.61</v>
      </c>
      <c r="L586" s="4">
        <v>88</v>
      </c>
      <c r="M586" s="4">
        <v>35</v>
      </c>
      <c r="N586" s="4">
        <v>85</v>
      </c>
      <c r="O586" s="4">
        <v>40</v>
      </c>
      <c r="P586" s="4">
        <v>22.268892777413502</v>
      </c>
      <c r="Q586" s="4">
        <v>47.444156408375299</v>
      </c>
      <c r="R586" s="4">
        <v>26</v>
      </c>
      <c r="S586" s="7" t="s">
        <v>35</v>
      </c>
      <c r="T586" s="4">
        <v>350605</v>
      </c>
      <c r="U586" s="4">
        <v>530046</v>
      </c>
      <c r="V586" s="4">
        <v>7617</v>
      </c>
      <c r="W586" s="4">
        <v>121100</v>
      </c>
      <c r="X586" s="4">
        <v>176446</v>
      </c>
      <c r="Y586" s="4">
        <v>353600</v>
      </c>
      <c r="Z586" s="4">
        <v>120000</v>
      </c>
      <c r="AA586" s="4">
        <v>1100</v>
      </c>
      <c r="AB586" s="4">
        <v>82670</v>
      </c>
      <c r="AC586" s="4">
        <v>258509</v>
      </c>
      <c r="AD586" s="4">
        <v>3490</v>
      </c>
      <c r="AE586" s="4">
        <v>17767</v>
      </c>
      <c r="AF586" s="4">
        <v>362436</v>
      </c>
      <c r="AG586" s="6">
        <v>23714</v>
      </c>
      <c r="AH586" s="6">
        <v>23674</v>
      </c>
      <c r="AI586" s="6">
        <v>40</v>
      </c>
      <c r="AL586" s="4">
        <v>1416</v>
      </c>
      <c r="AM586" s="4">
        <v>13959</v>
      </c>
      <c r="AN586" s="4">
        <v>1187</v>
      </c>
      <c r="AV586" s="4">
        <v>403</v>
      </c>
      <c r="AW586" s="4">
        <v>417</v>
      </c>
    </row>
    <row r="587" spans="1:49" x14ac:dyDescent="0.2">
      <c r="A587" s="1">
        <v>44140</v>
      </c>
      <c r="B587">
        <f t="shared" si="82"/>
        <v>14.05</v>
      </c>
      <c r="C587" s="1" t="s">
        <v>57</v>
      </c>
      <c r="D587" s="1" t="s">
        <v>62</v>
      </c>
      <c r="E587" s="1" t="s">
        <v>66</v>
      </c>
      <c r="F587" s="1" t="s">
        <v>53</v>
      </c>
      <c r="G587">
        <v>2061</v>
      </c>
      <c r="H587" s="4">
        <v>1.27</v>
      </c>
      <c r="I587" s="4">
        <v>121</v>
      </c>
      <c r="J587" s="4">
        <v>50</v>
      </c>
      <c r="K587" s="4">
        <v>43.86</v>
      </c>
      <c r="L587" s="4">
        <v>91</v>
      </c>
      <c r="M587" s="4">
        <v>36</v>
      </c>
      <c r="N587" s="4">
        <v>82</v>
      </c>
      <c r="O587" s="4">
        <v>40</v>
      </c>
      <c r="P587" s="4">
        <v>23.393309581119201</v>
      </c>
      <c r="Q587" s="4">
        <v>47.851487928325497</v>
      </c>
      <c r="R587" s="4">
        <v>28</v>
      </c>
      <c r="S587" s="7" t="s">
        <v>35</v>
      </c>
      <c r="T587" s="4">
        <v>344870</v>
      </c>
      <c r="U587" s="4">
        <v>530112</v>
      </c>
      <c r="V587" s="4">
        <v>11392</v>
      </c>
      <c r="W587" s="4">
        <v>121100</v>
      </c>
      <c r="X587" s="4">
        <v>176468</v>
      </c>
      <c r="Y587" s="4">
        <v>352800</v>
      </c>
      <c r="Z587" s="4">
        <v>120000</v>
      </c>
      <c r="AA587" s="4">
        <v>1944</v>
      </c>
      <c r="AB587" s="4">
        <v>80876</v>
      </c>
      <c r="AC587" s="4">
        <v>244080</v>
      </c>
      <c r="AD587" s="4">
        <v>3603</v>
      </c>
      <c r="AE587" s="4">
        <v>27817</v>
      </c>
      <c r="AF587" s="4">
        <v>356376</v>
      </c>
      <c r="AG587" s="6">
        <v>24102</v>
      </c>
      <c r="AH587" s="6">
        <v>24056</v>
      </c>
      <c r="AI587" s="6">
        <v>46</v>
      </c>
      <c r="AL587" s="4">
        <v>1591</v>
      </c>
      <c r="AM587" s="4">
        <v>13797</v>
      </c>
      <c r="AN587" s="4">
        <v>1183</v>
      </c>
      <c r="AV587" s="4">
        <v>383</v>
      </c>
      <c r="AW587" s="4">
        <v>388</v>
      </c>
    </row>
    <row r="588" spans="1:49" x14ac:dyDescent="0.2">
      <c r="A588" s="1">
        <v>44139</v>
      </c>
      <c r="B588">
        <f t="shared" si="82"/>
        <v>14.05</v>
      </c>
      <c r="C588" s="1" t="s">
        <v>57</v>
      </c>
      <c r="D588" s="1" t="s">
        <v>62</v>
      </c>
      <c r="E588" s="1" t="s">
        <v>67</v>
      </c>
      <c r="F588" s="1" t="s">
        <v>53</v>
      </c>
      <c r="G588">
        <v>2077</v>
      </c>
      <c r="H588" s="4">
        <v>104.89</v>
      </c>
      <c r="I588" s="4">
        <v>112</v>
      </c>
      <c r="J588" s="4">
        <v>59</v>
      </c>
      <c r="K588" s="4">
        <v>90.46</v>
      </c>
      <c r="L588" s="4">
        <v>110</v>
      </c>
      <c r="M588" s="4">
        <v>79</v>
      </c>
      <c r="N588" s="4">
        <v>92</v>
      </c>
      <c r="O588" s="4">
        <v>57</v>
      </c>
      <c r="P588" s="4">
        <v>43.463915215545001</v>
      </c>
      <c r="Q588" s="4">
        <v>65.537922759105001</v>
      </c>
      <c r="R588" s="4">
        <v>60</v>
      </c>
      <c r="S588" s="7" t="s">
        <v>35</v>
      </c>
      <c r="T588" s="4">
        <v>301459</v>
      </c>
      <c r="U588" s="4">
        <v>528245</v>
      </c>
      <c r="V588" s="4">
        <v>7384</v>
      </c>
      <c r="W588" s="4">
        <v>121100</v>
      </c>
      <c r="X588" s="4">
        <v>176468</v>
      </c>
      <c r="Y588" s="4">
        <v>347000</v>
      </c>
      <c r="Z588" s="4">
        <v>120000</v>
      </c>
      <c r="AA588" s="4">
        <v>5877</v>
      </c>
      <c r="AB588" s="4">
        <v>89958</v>
      </c>
      <c r="AC588" s="4">
        <v>195950</v>
      </c>
      <c r="AD588" s="4">
        <v>3120</v>
      </c>
      <c r="AE588" s="4">
        <v>19972</v>
      </c>
      <c r="AF588" s="4">
        <v>309000</v>
      </c>
      <c r="AG588" s="6">
        <v>24055</v>
      </c>
      <c r="AH588" s="6">
        <v>24017</v>
      </c>
      <c r="AI588" s="6">
        <v>38</v>
      </c>
      <c r="AL588" s="4">
        <v>1687</v>
      </c>
      <c r="AM588" s="4">
        <v>13818</v>
      </c>
      <c r="AN588" s="4">
        <v>1193</v>
      </c>
      <c r="AV588" s="4">
        <v>329</v>
      </c>
      <c r="AW588" s="4">
        <v>340</v>
      </c>
    </row>
    <row r="589" spans="1:49" x14ac:dyDescent="0.2">
      <c r="A589" s="1">
        <v>44138</v>
      </c>
      <c r="B589">
        <f t="shared" si="82"/>
        <v>14.05</v>
      </c>
      <c r="C589" s="1" t="s">
        <v>57</v>
      </c>
      <c r="D589" s="1" t="s">
        <v>62</v>
      </c>
      <c r="E589" s="1" t="s">
        <v>67</v>
      </c>
      <c r="F589" s="1" t="s">
        <v>53</v>
      </c>
      <c r="G589">
        <v>2074</v>
      </c>
      <c r="H589" s="4">
        <v>89.53</v>
      </c>
      <c r="I589" s="4">
        <v>114</v>
      </c>
      <c r="J589" s="4">
        <v>57</v>
      </c>
      <c r="K589" s="4">
        <v>78.72</v>
      </c>
      <c r="L589" s="4">
        <v>90</v>
      </c>
      <c r="M589" s="4">
        <v>73</v>
      </c>
      <c r="N589" s="4">
        <v>89</v>
      </c>
      <c r="O589" s="4">
        <v>54</v>
      </c>
      <c r="P589" s="4">
        <v>40.465187802960898</v>
      </c>
      <c r="Q589" s="4">
        <v>63.676586251557602</v>
      </c>
      <c r="R589" s="4">
        <v>57</v>
      </c>
      <c r="S589" s="7" t="s">
        <v>35</v>
      </c>
      <c r="T589" s="4">
        <v>266604</v>
      </c>
      <c r="U589" s="4">
        <v>526367</v>
      </c>
      <c r="V589" s="4">
        <v>10350</v>
      </c>
      <c r="W589" s="4">
        <v>121100</v>
      </c>
      <c r="X589" s="4">
        <v>176418</v>
      </c>
      <c r="Y589" s="4">
        <v>347450</v>
      </c>
      <c r="Z589" s="4">
        <v>120000</v>
      </c>
      <c r="AA589" s="4">
        <v>3599</v>
      </c>
      <c r="AB589" s="4">
        <v>76777</v>
      </c>
      <c r="AC589" s="4">
        <v>177027</v>
      </c>
      <c r="AD589" s="4">
        <v>3612</v>
      </c>
      <c r="AE589" s="4">
        <v>19650</v>
      </c>
      <c r="AF589" s="4">
        <v>277066</v>
      </c>
      <c r="AG589" s="6">
        <v>25989</v>
      </c>
      <c r="AH589" s="6">
        <v>25939</v>
      </c>
      <c r="AI589" s="6">
        <v>50</v>
      </c>
      <c r="AL589" s="4">
        <v>1523</v>
      </c>
      <c r="AM589" s="4">
        <v>13750</v>
      </c>
      <c r="AN589" s="4">
        <v>1144</v>
      </c>
      <c r="AV589" s="4">
        <v>363</v>
      </c>
      <c r="AW589" s="4">
        <v>377</v>
      </c>
    </row>
    <row r="590" spans="1:49" x14ac:dyDescent="0.2">
      <c r="A590" s="1">
        <v>44137</v>
      </c>
      <c r="B590">
        <f t="shared" si="82"/>
        <v>14.05</v>
      </c>
      <c r="C590" s="1" t="s">
        <v>57</v>
      </c>
      <c r="D590" s="1" t="s">
        <v>62</v>
      </c>
      <c r="E590" s="1" t="s">
        <v>67</v>
      </c>
      <c r="F590" s="1" t="s">
        <v>53</v>
      </c>
      <c r="G590">
        <v>2075</v>
      </c>
      <c r="H590" s="4">
        <v>70.459999999999994</v>
      </c>
      <c r="I590" s="4">
        <v>114</v>
      </c>
      <c r="J590" s="4">
        <v>56</v>
      </c>
      <c r="K590" s="4">
        <v>69.72</v>
      </c>
      <c r="L590" s="4">
        <v>101</v>
      </c>
      <c r="M590" s="4">
        <v>72</v>
      </c>
      <c r="N590" s="4">
        <v>91</v>
      </c>
      <c r="O590" s="4">
        <v>52</v>
      </c>
      <c r="P590" s="4">
        <v>37.916241469058498</v>
      </c>
      <c r="Q590" s="4">
        <v>61.452051329641399</v>
      </c>
      <c r="R590" s="4">
        <v>53</v>
      </c>
      <c r="S590" s="7" t="s">
        <v>35</v>
      </c>
      <c r="T590" s="4">
        <v>210295</v>
      </c>
      <c r="U590" s="4">
        <v>521016</v>
      </c>
      <c r="V590" s="4">
        <v>11490</v>
      </c>
      <c r="W590" s="4">
        <v>121100</v>
      </c>
      <c r="X590" s="4">
        <v>176334</v>
      </c>
      <c r="Y590" s="4">
        <v>337000</v>
      </c>
      <c r="Z590" s="4">
        <v>120000</v>
      </c>
      <c r="AA590" s="4">
        <v>8782</v>
      </c>
      <c r="AB590" s="4">
        <v>68768</v>
      </c>
      <c r="AC590" s="4">
        <v>121737</v>
      </c>
      <c r="AD590" s="4">
        <v>2289</v>
      </c>
      <c r="AE590" s="4">
        <v>29005</v>
      </c>
      <c r="AF590" s="4">
        <v>221799</v>
      </c>
      <c r="AG590" s="6">
        <v>32003</v>
      </c>
      <c r="AH590" s="6">
        <v>31955</v>
      </c>
      <c r="AI590" s="6">
        <v>48</v>
      </c>
      <c r="AL590" s="4">
        <v>1574</v>
      </c>
      <c r="AM590" s="4">
        <v>13106</v>
      </c>
      <c r="AN590" s="4">
        <v>1075</v>
      </c>
      <c r="AV590" s="4">
        <v>341</v>
      </c>
      <c r="AW590" s="4">
        <v>338</v>
      </c>
    </row>
    <row r="591" spans="1:49" x14ac:dyDescent="0.2">
      <c r="A591" s="1">
        <v>44136</v>
      </c>
      <c r="B591">
        <v>10.61</v>
      </c>
      <c r="C591" s="1" t="s">
        <v>57</v>
      </c>
      <c r="D591" s="1" t="s">
        <v>62</v>
      </c>
      <c r="E591" s="1" t="s">
        <v>67</v>
      </c>
      <c r="F591" s="1" t="s">
        <v>53</v>
      </c>
      <c r="G591">
        <v>2062</v>
      </c>
      <c r="H591" s="4">
        <v>81.41</v>
      </c>
      <c r="I591" s="4">
        <v>105</v>
      </c>
      <c r="J591" s="4">
        <v>88</v>
      </c>
      <c r="K591" s="4">
        <v>66.27</v>
      </c>
      <c r="L591" s="4">
        <v>87</v>
      </c>
      <c r="M591" s="4">
        <v>66</v>
      </c>
      <c r="N591" s="4">
        <v>84</v>
      </c>
      <c r="O591" s="4">
        <v>57</v>
      </c>
      <c r="P591" s="4">
        <v>45.833439357561602</v>
      </c>
      <c r="Q591" s="4">
        <v>65.017305965650607</v>
      </c>
      <c r="R591" s="4">
        <v>56</v>
      </c>
      <c r="S591" s="7" t="s">
        <v>35</v>
      </c>
      <c r="T591" s="4">
        <v>269073</v>
      </c>
      <c r="U591" s="4">
        <v>519770</v>
      </c>
      <c r="V591" s="4">
        <v>12536</v>
      </c>
      <c r="W591" s="4">
        <v>121100</v>
      </c>
      <c r="X591" s="4">
        <v>173007</v>
      </c>
      <c r="Y591" s="4">
        <v>336000</v>
      </c>
      <c r="Z591" s="4">
        <v>120000</v>
      </c>
      <c r="AA591" s="4">
        <v>11863</v>
      </c>
      <c r="AB591" s="4">
        <v>56572</v>
      </c>
      <c r="AC591" s="4">
        <v>185050</v>
      </c>
      <c r="AD591" s="4">
        <v>647</v>
      </c>
      <c r="AE591" s="4">
        <v>39340</v>
      </c>
      <c r="AF591" s="4">
        <v>281609</v>
      </c>
      <c r="AG591" s="6">
        <v>16001</v>
      </c>
      <c r="AH591" s="6">
        <v>15976</v>
      </c>
      <c r="AI591" s="6">
        <v>25</v>
      </c>
      <c r="AL591" s="4">
        <v>1497</v>
      </c>
      <c r="AM591" s="4">
        <v>12231</v>
      </c>
      <c r="AN591" s="4">
        <v>979</v>
      </c>
      <c r="AV591" s="4">
        <v>361</v>
      </c>
      <c r="AW591" s="4">
        <v>359</v>
      </c>
    </row>
    <row r="592" spans="1:49" x14ac:dyDescent="0.2">
      <c r="A592" s="1">
        <v>44135</v>
      </c>
      <c r="B592">
        <f>B591</f>
        <v>10.61</v>
      </c>
      <c r="C592" s="1" t="s">
        <v>57</v>
      </c>
      <c r="D592" s="1" t="s">
        <v>62</v>
      </c>
      <c r="E592" s="1" t="s">
        <v>67</v>
      </c>
      <c r="F592" s="1" t="s">
        <v>53</v>
      </c>
      <c r="G592">
        <v>2061</v>
      </c>
      <c r="H592" s="4">
        <v>65.739999999999995</v>
      </c>
      <c r="I592" s="4">
        <v>108</v>
      </c>
      <c r="J592" s="4">
        <v>85</v>
      </c>
      <c r="K592" s="4">
        <v>92.39</v>
      </c>
      <c r="L592" s="4">
        <v>67</v>
      </c>
      <c r="M592" s="4">
        <v>56</v>
      </c>
      <c r="N592" s="4">
        <v>85</v>
      </c>
      <c r="O592" s="4">
        <v>53</v>
      </c>
      <c r="P592" s="4">
        <v>38.662246494885999</v>
      </c>
      <c r="Q592" s="4">
        <v>57.785982829450198</v>
      </c>
      <c r="R592" s="4">
        <v>54</v>
      </c>
      <c r="S592" s="7" t="s">
        <v>35</v>
      </c>
      <c r="T592" s="4">
        <v>290230</v>
      </c>
      <c r="U592" s="4">
        <v>525282</v>
      </c>
      <c r="V592" s="4">
        <v>15659</v>
      </c>
      <c r="W592" s="4">
        <v>121100</v>
      </c>
      <c r="X592" s="4">
        <v>172789</v>
      </c>
      <c r="Y592" s="4">
        <v>346500</v>
      </c>
      <c r="Z592" s="4">
        <v>120000</v>
      </c>
      <c r="AA592" s="4">
        <v>7093</v>
      </c>
      <c r="AB592" s="4">
        <v>71640</v>
      </c>
      <c r="AC592" s="4">
        <v>202171</v>
      </c>
      <c r="AD592" s="4">
        <v>1011</v>
      </c>
      <c r="AE592" s="4">
        <v>31067</v>
      </c>
      <c r="AF592" s="4">
        <v>305889</v>
      </c>
      <c r="AG592" s="6">
        <v>16702</v>
      </c>
      <c r="AH592" s="6">
        <v>16680</v>
      </c>
      <c r="AI592" s="6">
        <v>22</v>
      </c>
      <c r="AL592" s="4">
        <v>1460</v>
      </c>
      <c r="AM592" s="4">
        <v>12311</v>
      </c>
      <c r="AN592" s="4">
        <v>1003</v>
      </c>
      <c r="AV592" s="4">
        <v>326</v>
      </c>
      <c r="AW592" s="4">
        <v>340</v>
      </c>
    </row>
    <row r="593" spans="1:49" x14ac:dyDescent="0.2">
      <c r="A593" s="1">
        <v>44134</v>
      </c>
      <c r="B593">
        <f t="shared" ref="B593:B597" si="83">B592</f>
        <v>10.61</v>
      </c>
      <c r="C593" s="1" t="s">
        <v>57</v>
      </c>
      <c r="D593" s="1" t="s">
        <v>62</v>
      </c>
      <c r="E593" s="1" t="s">
        <v>67</v>
      </c>
      <c r="F593" s="1" t="s">
        <v>53</v>
      </c>
      <c r="G593">
        <v>2062</v>
      </c>
      <c r="H593" s="4">
        <v>58.11</v>
      </c>
      <c r="I593" s="4">
        <v>117</v>
      </c>
      <c r="J593" s="4">
        <v>50</v>
      </c>
      <c r="K593" s="4">
        <v>93.84</v>
      </c>
      <c r="L593" s="4">
        <v>95</v>
      </c>
      <c r="M593" s="4">
        <v>61</v>
      </c>
      <c r="N593" s="4">
        <v>89</v>
      </c>
      <c r="O593" s="4">
        <v>49</v>
      </c>
      <c r="P593" s="4">
        <v>35.777874348112803</v>
      </c>
      <c r="Q593" s="4">
        <v>51.2175528946849</v>
      </c>
      <c r="R593" s="4">
        <v>50</v>
      </c>
      <c r="S593" s="7" t="s">
        <v>35</v>
      </c>
      <c r="T593" s="4">
        <v>304445</v>
      </c>
      <c r="U593" s="4">
        <v>478441</v>
      </c>
      <c r="V593" s="4">
        <v>25030</v>
      </c>
      <c r="W593" s="4">
        <v>121100</v>
      </c>
      <c r="X593" s="4">
        <v>173392</v>
      </c>
      <c r="Y593" s="4">
        <v>299200</v>
      </c>
      <c r="Z593" s="4">
        <v>120000</v>
      </c>
      <c r="AA593" s="4">
        <v>6949</v>
      </c>
      <c r="AB593" s="4">
        <v>75785</v>
      </c>
      <c r="AC593" s="4">
        <v>200623</v>
      </c>
      <c r="AD593" s="4">
        <v>2905</v>
      </c>
      <c r="AE593" s="4">
        <v>50230</v>
      </c>
      <c r="AF593" s="4">
        <v>329543</v>
      </c>
      <c r="AG593" s="6">
        <v>22896</v>
      </c>
      <c r="AH593" s="6">
        <v>22864</v>
      </c>
      <c r="AI593" s="6">
        <v>32</v>
      </c>
      <c r="AL593" s="4">
        <v>1384</v>
      </c>
      <c r="AM593" s="4">
        <v>11789</v>
      </c>
      <c r="AN593" s="4">
        <v>979</v>
      </c>
      <c r="AV593" s="4">
        <v>340</v>
      </c>
      <c r="AW593" s="4">
        <v>352</v>
      </c>
    </row>
    <row r="594" spans="1:49" x14ac:dyDescent="0.2">
      <c r="A594" s="1">
        <v>44133</v>
      </c>
      <c r="B594">
        <f t="shared" si="83"/>
        <v>10.61</v>
      </c>
      <c r="C594" s="1" t="s">
        <v>57</v>
      </c>
      <c r="D594" s="1" t="s">
        <v>62</v>
      </c>
      <c r="E594" s="1" t="s">
        <v>67</v>
      </c>
      <c r="F594" s="1" t="s">
        <v>53</v>
      </c>
      <c r="G594">
        <v>2064</v>
      </c>
      <c r="H594" s="4">
        <v>52.1</v>
      </c>
      <c r="I594" s="4">
        <v>119</v>
      </c>
      <c r="J594" s="4">
        <v>47</v>
      </c>
      <c r="K594" s="4">
        <v>76.180000000000007</v>
      </c>
      <c r="L594" s="4">
        <v>76</v>
      </c>
      <c r="M594" s="4">
        <v>59</v>
      </c>
      <c r="N594" s="4">
        <v>83</v>
      </c>
      <c r="O594" s="4">
        <v>44</v>
      </c>
      <c r="P594" s="4">
        <v>33.773427947469997</v>
      </c>
      <c r="Q594" s="4">
        <v>47.232873085406602</v>
      </c>
      <c r="R594" s="4">
        <v>46</v>
      </c>
      <c r="S594" s="7" t="s">
        <v>35</v>
      </c>
      <c r="T594" s="4">
        <v>347250</v>
      </c>
      <c r="U594" s="4">
        <v>480961</v>
      </c>
      <c r="V594" s="4">
        <v>30453</v>
      </c>
      <c r="W594" s="4">
        <v>121100</v>
      </c>
      <c r="X594" s="4">
        <v>167879</v>
      </c>
      <c r="Y594" s="4">
        <v>301100</v>
      </c>
      <c r="Z594" s="4">
        <v>120000</v>
      </c>
      <c r="AA594" s="4">
        <v>13082</v>
      </c>
      <c r="AB594" s="4">
        <v>73655</v>
      </c>
      <c r="AC594" s="4">
        <v>243222</v>
      </c>
      <c r="AD594" s="4">
        <v>3266</v>
      </c>
      <c r="AE594" s="4">
        <v>57566</v>
      </c>
      <c r="AF594" s="4">
        <v>377709</v>
      </c>
      <c r="AG594" s="6">
        <v>23649</v>
      </c>
      <c r="AH594" s="6">
        <v>23608</v>
      </c>
      <c r="AI594" s="6">
        <v>41</v>
      </c>
      <c r="AL594" s="4">
        <v>1590</v>
      </c>
      <c r="AM594" s="4">
        <v>11584</v>
      </c>
      <c r="AN594" s="4">
        <v>974</v>
      </c>
      <c r="AV594" s="4">
        <v>314</v>
      </c>
      <c r="AW594" s="4">
        <v>320</v>
      </c>
    </row>
    <row r="595" spans="1:49" x14ac:dyDescent="0.2">
      <c r="A595" s="1">
        <v>44132</v>
      </c>
      <c r="B595">
        <f t="shared" si="83"/>
        <v>10.61</v>
      </c>
      <c r="C595" s="1" t="s">
        <v>57</v>
      </c>
      <c r="D595" s="1" t="s">
        <v>62</v>
      </c>
      <c r="E595" s="1" t="s">
        <v>67</v>
      </c>
      <c r="F595" s="1" t="s">
        <v>53</v>
      </c>
      <c r="G595">
        <v>2058</v>
      </c>
      <c r="H595" s="4">
        <v>51.35</v>
      </c>
      <c r="I595" s="4">
        <v>118</v>
      </c>
      <c r="J595" s="4">
        <v>48</v>
      </c>
      <c r="K595" s="4">
        <v>78.41</v>
      </c>
      <c r="L595" s="4">
        <v>97</v>
      </c>
      <c r="M595" s="4">
        <v>62</v>
      </c>
      <c r="N595" s="4">
        <v>84</v>
      </c>
      <c r="O595" s="4">
        <v>46</v>
      </c>
      <c r="P595" s="4">
        <v>34.255778840099801</v>
      </c>
      <c r="Q595" s="4">
        <v>49.139174849045901</v>
      </c>
      <c r="R595" s="4">
        <v>46</v>
      </c>
      <c r="S595" s="7" t="s">
        <v>35</v>
      </c>
      <c r="T595" s="4">
        <v>309231</v>
      </c>
      <c r="U595" s="4">
        <v>467512</v>
      </c>
      <c r="V595" s="4">
        <v>35012</v>
      </c>
      <c r="W595" s="4">
        <v>121100</v>
      </c>
      <c r="X595" s="4">
        <v>161869</v>
      </c>
      <c r="Y595" s="4">
        <v>297200</v>
      </c>
      <c r="Z595" s="4">
        <v>120000</v>
      </c>
      <c r="AA595" s="4">
        <v>9543</v>
      </c>
      <c r="AB595" s="4">
        <v>82232</v>
      </c>
      <c r="AC595" s="4">
        <v>203880</v>
      </c>
      <c r="AD595" s="4">
        <v>3338</v>
      </c>
      <c r="AE595" s="4">
        <v>54840</v>
      </c>
      <c r="AF595" s="4">
        <v>344290</v>
      </c>
      <c r="AG595" s="6">
        <v>23907</v>
      </c>
      <c r="AH595" s="6">
        <v>23876</v>
      </c>
      <c r="AI595" s="6">
        <v>31</v>
      </c>
      <c r="AL595" s="4">
        <v>1494</v>
      </c>
      <c r="AM595" s="4">
        <v>11435</v>
      </c>
      <c r="AN595" s="4">
        <v>957</v>
      </c>
      <c r="AV595" s="4">
        <v>287</v>
      </c>
      <c r="AW595" s="4">
        <v>281</v>
      </c>
    </row>
    <row r="596" spans="1:49" x14ac:dyDescent="0.2">
      <c r="A596" s="1">
        <v>44131</v>
      </c>
      <c r="B596">
        <f t="shared" si="83"/>
        <v>10.61</v>
      </c>
      <c r="C596" s="1" t="s">
        <v>57</v>
      </c>
      <c r="D596" s="1" t="s">
        <v>62</v>
      </c>
      <c r="E596" s="1" t="s">
        <v>67</v>
      </c>
      <c r="F596" s="1" t="s">
        <v>53</v>
      </c>
      <c r="G596">
        <v>2057</v>
      </c>
      <c r="H596" s="4">
        <v>45.43</v>
      </c>
      <c r="I596" s="4">
        <v>118</v>
      </c>
      <c r="J596" s="4">
        <v>46</v>
      </c>
      <c r="K596" s="4">
        <v>71.760000000000005</v>
      </c>
      <c r="L596" s="4">
        <v>75</v>
      </c>
      <c r="M596" s="4">
        <v>60</v>
      </c>
      <c r="N596" s="4">
        <v>81</v>
      </c>
      <c r="O596" s="4">
        <v>45</v>
      </c>
      <c r="P596" s="4">
        <v>33.0418046706992</v>
      </c>
      <c r="Q596" s="4">
        <v>47.602588593252499</v>
      </c>
      <c r="R596" s="4">
        <v>45</v>
      </c>
      <c r="S596" s="7" t="s">
        <v>35</v>
      </c>
      <c r="T596" s="4">
        <v>282733</v>
      </c>
      <c r="U596" s="4">
        <v>439541</v>
      </c>
      <c r="V596" s="4">
        <v>30138</v>
      </c>
      <c r="W596" s="4">
        <v>121100</v>
      </c>
      <c r="X596" s="4">
        <v>137574</v>
      </c>
      <c r="Y596" s="4">
        <v>295900</v>
      </c>
      <c r="Z596" s="4">
        <v>120000</v>
      </c>
      <c r="AA596" s="4">
        <v>7167</v>
      </c>
      <c r="AB596" s="4">
        <v>81755</v>
      </c>
      <c r="AC596" s="4">
        <v>176922</v>
      </c>
      <c r="AD596" s="4">
        <v>3214</v>
      </c>
      <c r="AE596" s="4">
        <v>50982</v>
      </c>
      <c r="AF596" s="4">
        <v>312873</v>
      </c>
      <c r="AG596" s="6">
        <v>24360</v>
      </c>
      <c r="AH596" s="6">
        <v>24331</v>
      </c>
      <c r="AI596" s="6">
        <v>29</v>
      </c>
      <c r="AL596" s="4">
        <v>1498</v>
      </c>
      <c r="AM596" s="4">
        <v>10939</v>
      </c>
      <c r="AN596" s="4">
        <v>903</v>
      </c>
      <c r="AV596" s="4">
        <v>269</v>
      </c>
      <c r="AW596" s="4">
        <v>285</v>
      </c>
    </row>
    <row r="597" spans="1:49" x14ac:dyDescent="0.2">
      <c r="A597" s="1">
        <v>44130</v>
      </c>
      <c r="B597">
        <f t="shared" si="83"/>
        <v>10.61</v>
      </c>
      <c r="C597" s="1" t="s">
        <v>57</v>
      </c>
      <c r="D597" s="1" t="s">
        <v>62</v>
      </c>
      <c r="E597" s="1" t="s">
        <v>67</v>
      </c>
      <c r="F597" s="1" t="s">
        <v>53</v>
      </c>
      <c r="G597">
        <v>2077</v>
      </c>
      <c r="H597" s="4">
        <v>46.2</v>
      </c>
      <c r="I597" s="4">
        <v>117</v>
      </c>
      <c r="J597" s="4">
        <v>47</v>
      </c>
      <c r="K597" s="4">
        <v>76.209999999999994</v>
      </c>
      <c r="L597" s="4">
        <v>119</v>
      </c>
      <c r="M597" s="4">
        <v>67</v>
      </c>
      <c r="N597" s="4">
        <v>86</v>
      </c>
      <c r="O597" s="4">
        <v>46</v>
      </c>
      <c r="P597" s="4">
        <v>33.782786935440697</v>
      </c>
      <c r="Q597" s="4">
        <v>50.032660057941499</v>
      </c>
      <c r="R597" s="4">
        <v>47</v>
      </c>
      <c r="S597" s="7" t="s">
        <v>35</v>
      </c>
      <c r="T597" s="4">
        <v>264694</v>
      </c>
      <c r="U597" s="4">
        <v>445723</v>
      </c>
      <c r="V597" s="4">
        <v>2489</v>
      </c>
      <c r="W597" s="4">
        <v>121100</v>
      </c>
      <c r="X597" s="4">
        <v>134112</v>
      </c>
      <c r="Y597" s="4">
        <v>293200</v>
      </c>
      <c r="Z597" s="4">
        <v>120000</v>
      </c>
      <c r="AA597" s="4">
        <v>19511</v>
      </c>
      <c r="AB597" s="4">
        <v>66297</v>
      </c>
      <c r="AC597" s="4">
        <v>158147</v>
      </c>
      <c r="AD597" s="4">
        <v>2489</v>
      </c>
      <c r="AE597" s="4">
        <v>40256</v>
      </c>
      <c r="AF597" s="4">
        <v>267189</v>
      </c>
      <c r="AG597" s="6">
        <v>26807</v>
      </c>
      <c r="AH597" s="6">
        <v>26779</v>
      </c>
      <c r="AI597" s="6">
        <v>28</v>
      </c>
      <c r="AL597" s="4">
        <v>1541</v>
      </c>
      <c r="AM597" s="4">
        <v>10109</v>
      </c>
      <c r="AN597" s="4">
        <v>853</v>
      </c>
      <c r="AV597" s="4">
        <v>282</v>
      </c>
      <c r="AW597" s="4">
        <v>282</v>
      </c>
    </row>
    <row r="598" spans="1:49" x14ac:dyDescent="0.2">
      <c r="A598" s="1">
        <v>44129</v>
      </c>
      <c r="B598">
        <v>10.39</v>
      </c>
      <c r="C598" s="1" t="s">
        <v>57</v>
      </c>
      <c r="D598" s="1" t="s">
        <v>62</v>
      </c>
      <c r="E598" s="1" t="s">
        <v>67</v>
      </c>
      <c r="F598" s="1" t="s">
        <v>53</v>
      </c>
      <c r="G598">
        <v>2113</v>
      </c>
      <c r="H598" s="4">
        <v>69.680000000000007</v>
      </c>
      <c r="I598" s="4">
        <v>106</v>
      </c>
      <c r="J598" s="4">
        <v>86</v>
      </c>
      <c r="K598" s="4">
        <v>72.239999999999995</v>
      </c>
      <c r="L598" s="4">
        <v>100</v>
      </c>
      <c r="M598" s="4">
        <v>64</v>
      </c>
      <c r="N598" s="4">
        <v>84</v>
      </c>
      <c r="O598" s="4">
        <v>54</v>
      </c>
      <c r="P598" s="4">
        <v>46.857510277509903</v>
      </c>
      <c r="Q598" s="4">
        <v>63.5072288298269</v>
      </c>
      <c r="R598" s="4">
        <v>54</v>
      </c>
      <c r="S598" s="7" t="s">
        <v>35</v>
      </c>
      <c r="T598" s="4">
        <v>321088</v>
      </c>
      <c r="U598" s="4">
        <v>377996</v>
      </c>
      <c r="V598" s="4">
        <v>622</v>
      </c>
      <c r="W598" s="4">
        <v>121100</v>
      </c>
      <c r="X598" s="4">
        <v>83164</v>
      </c>
      <c r="Y598" s="4">
        <v>281000</v>
      </c>
      <c r="Z598" s="4">
        <v>120000</v>
      </c>
      <c r="AA598" s="4">
        <v>14932</v>
      </c>
      <c r="AB598" s="4">
        <v>60338</v>
      </c>
      <c r="AC598" s="4">
        <v>230863</v>
      </c>
      <c r="AD598" s="4">
        <v>622</v>
      </c>
      <c r="AE598" s="4">
        <v>29888</v>
      </c>
      <c r="AF598" s="4">
        <v>321711</v>
      </c>
      <c r="AG598" s="6">
        <v>15905</v>
      </c>
      <c r="AH598" s="6">
        <v>15893</v>
      </c>
      <c r="AI598" s="6">
        <v>12</v>
      </c>
      <c r="AL598" s="4">
        <v>1425</v>
      </c>
      <c r="AM598" s="4">
        <v>9787</v>
      </c>
      <c r="AN598" s="4">
        <v>828</v>
      </c>
      <c r="AV598" s="4">
        <v>252</v>
      </c>
      <c r="AW598" s="4">
        <v>255</v>
      </c>
    </row>
    <row r="599" spans="1:49" x14ac:dyDescent="0.2">
      <c r="A599" s="1">
        <v>44128</v>
      </c>
      <c r="B599">
        <f>B598</f>
        <v>10.39</v>
      </c>
      <c r="C599" s="1" t="s">
        <v>57</v>
      </c>
      <c r="D599" s="1" t="s">
        <v>62</v>
      </c>
      <c r="E599" s="1" t="s">
        <v>67</v>
      </c>
      <c r="F599" s="1" t="s">
        <v>53</v>
      </c>
      <c r="G599">
        <v>2131</v>
      </c>
      <c r="H599" s="4">
        <v>62.99</v>
      </c>
      <c r="I599" s="4">
        <v>108</v>
      </c>
      <c r="J599" s="4">
        <v>85</v>
      </c>
      <c r="K599" s="4">
        <v>89.15</v>
      </c>
      <c r="L599" s="4">
        <v>73</v>
      </c>
      <c r="M599" s="4">
        <v>56</v>
      </c>
      <c r="N599" s="4">
        <v>82</v>
      </c>
      <c r="O599" s="4">
        <v>52</v>
      </c>
      <c r="P599" s="4">
        <v>40.290521618360202</v>
      </c>
      <c r="Q599" s="4">
        <v>57.140232849996302</v>
      </c>
      <c r="R599" s="4">
        <v>53</v>
      </c>
      <c r="S599" s="7" t="s">
        <v>35</v>
      </c>
      <c r="T599" s="4">
        <v>316648</v>
      </c>
      <c r="U599" s="4">
        <v>374339</v>
      </c>
      <c r="V599" s="4">
        <v>1463</v>
      </c>
      <c r="W599" s="4">
        <v>121100</v>
      </c>
      <c r="X599" s="4">
        <v>83246</v>
      </c>
      <c r="Y599" s="4">
        <v>278000</v>
      </c>
      <c r="Z599" s="4">
        <v>120000</v>
      </c>
      <c r="AA599" s="4">
        <v>14193</v>
      </c>
      <c r="AB599" s="4">
        <v>70496</v>
      </c>
      <c r="AC599" s="4">
        <v>210368</v>
      </c>
      <c r="AD599" s="4">
        <v>1463</v>
      </c>
      <c r="AE599" s="4">
        <v>35785</v>
      </c>
      <c r="AF599" s="4">
        <v>318112</v>
      </c>
      <c r="AG599" s="6">
        <v>16464</v>
      </c>
      <c r="AH599" s="6">
        <v>16445</v>
      </c>
      <c r="AI599" s="6">
        <v>19</v>
      </c>
      <c r="AL599" s="4">
        <v>1262</v>
      </c>
      <c r="AM599" s="4">
        <v>9263</v>
      </c>
      <c r="AN599" s="4">
        <v>788</v>
      </c>
      <c r="AV599" s="4">
        <v>214</v>
      </c>
      <c r="AW599" s="4">
        <v>219</v>
      </c>
    </row>
    <row r="600" spans="1:49" x14ac:dyDescent="0.2">
      <c r="A600" s="1">
        <v>44127</v>
      </c>
      <c r="B600">
        <f t="shared" ref="B600:B604" si="84">B599</f>
        <v>10.39</v>
      </c>
      <c r="C600" s="1" t="s">
        <v>57</v>
      </c>
      <c r="D600" s="1" t="s">
        <v>62</v>
      </c>
      <c r="E600" s="1" t="s">
        <v>67</v>
      </c>
      <c r="F600" s="1" t="s">
        <v>53</v>
      </c>
      <c r="G600">
        <v>2152</v>
      </c>
      <c r="H600" s="4">
        <v>51.78</v>
      </c>
      <c r="I600" s="4">
        <v>116</v>
      </c>
      <c r="J600" s="4">
        <v>56</v>
      </c>
      <c r="K600" s="4">
        <v>82.54</v>
      </c>
      <c r="L600" s="4">
        <v>95</v>
      </c>
      <c r="M600" s="4">
        <v>59</v>
      </c>
      <c r="N600" s="4">
        <v>88</v>
      </c>
      <c r="O600" s="4">
        <v>49</v>
      </c>
      <c r="P600" s="4">
        <v>34.983940702323999</v>
      </c>
      <c r="Q600" s="4">
        <v>56.692300387271302</v>
      </c>
      <c r="R600" s="4">
        <v>48</v>
      </c>
      <c r="S600" s="7" t="s">
        <v>35</v>
      </c>
      <c r="T600" s="4">
        <v>345305</v>
      </c>
      <c r="U600" s="4">
        <v>369148</v>
      </c>
      <c r="V600" s="4">
        <v>5054</v>
      </c>
      <c r="W600" s="4">
        <v>121100</v>
      </c>
      <c r="X600" s="4">
        <v>83668</v>
      </c>
      <c r="Y600" s="4">
        <v>273000</v>
      </c>
      <c r="Z600" s="4">
        <v>120000</v>
      </c>
      <c r="AA600" s="4">
        <v>13580</v>
      </c>
      <c r="AB600" s="4">
        <v>81092</v>
      </c>
      <c r="AC600" s="4">
        <v>229950</v>
      </c>
      <c r="AD600" s="4">
        <v>3618</v>
      </c>
      <c r="AE600" s="4">
        <v>35710</v>
      </c>
      <c r="AF600" s="4">
        <v>350370</v>
      </c>
      <c r="AG600" s="6">
        <v>21714</v>
      </c>
      <c r="AH600" s="6">
        <v>21678</v>
      </c>
      <c r="AI600" s="6">
        <v>36</v>
      </c>
      <c r="AL600" s="4">
        <v>1299</v>
      </c>
      <c r="AM600" s="4">
        <v>8887</v>
      </c>
      <c r="AN600" s="4">
        <v>744</v>
      </c>
      <c r="AV600" s="4">
        <v>224</v>
      </c>
      <c r="AW600" s="4">
        <v>225</v>
      </c>
    </row>
    <row r="601" spans="1:49" x14ac:dyDescent="0.2">
      <c r="A601" s="1">
        <v>44126</v>
      </c>
      <c r="B601">
        <f t="shared" si="84"/>
        <v>10.39</v>
      </c>
      <c r="C601" s="1" t="s">
        <v>57</v>
      </c>
      <c r="D601" s="1" t="s">
        <v>62</v>
      </c>
      <c r="E601" s="1" t="s">
        <v>67</v>
      </c>
      <c r="F601" s="1" t="s">
        <v>53</v>
      </c>
      <c r="G601">
        <v>2171</v>
      </c>
      <c r="H601" s="4">
        <v>43.49</v>
      </c>
      <c r="I601" s="4">
        <v>116</v>
      </c>
      <c r="J601" s="4">
        <v>55</v>
      </c>
      <c r="K601" s="4">
        <v>72.7</v>
      </c>
      <c r="L601" s="4">
        <v>111</v>
      </c>
      <c r="M601" s="4">
        <v>61</v>
      </c>
      <c r="N601" s="4">
        <v>88</v>
      </c>
      <c r="O601" s="4">
        <v>48</v>
      </c>
      <c r="P601" s="4">
        <v>34.388997386433097</v>
      </c>
      <c r="Q601" s="4">
        <v>58.253148618886001</v>
      </c>
      <c r="R601" s="4">
        <v>46</v>
      </c>
      <c r="S601" s="7" t="s">
        <v>35</v>
      </c>
      <c r="T601" s="4">
        <v>340342</v>
      </c>
      <c r="U601" s="4">
        <v>361573</v>
      </c>
      <c r="V601" s="4">
        <v>3775</v>
      </c>
      <c r="W601" s="4">
        <v>121100</v>
      </c>
      <c r="X601" s="4">
        <v>83574</v>
      </c>
      <c r="Y601" s="4">
        <v>264100</v>
      </c>
      <c r="Z601" s="4">
        <v>120000</v>
      </c>
      <c r="AA601" s="4">
        <v>14999</v>
      </c>
      <c r="AB601" s="4">
        <v>82089</v>
      </c>
      <c r="AC601" s="4">
        <v>231440</v>
      </c>
      <c r="AD601" s="4">
        <v>3419</v>
      </c>
      <c r="AE601" s="4">
        <v>27174</v>
      </c>
      <c r="AF601" s="4">
        <v>344122</v>
      </c>
      <c r="AG601" s="6">
        <v>23497</v>
      </c>
      <c r="AH601" s="6">
        <v>23473</v>
      </c>
      <c r="AI601" s="6">
        <v>24</v>
      </c>
      <c r="AL601" s="4">
        <v>1283</v>
      </c>
      <c r="AM601" s="4">
        <v>8312</v>
      </c>
      <c r="AN601" s="4">
        <v>708</v>
      </c>
      <c r="AV601" s="4">
        <v>236</v>
      </c>
      <c r="AW601" s="4">
        <v>242</v>
      </c>
    </row>
    <row r="602" spans="1:49" x14ac:dyDescent="0.2">
      <c r="A602" s="1">
        <v>44125</v>
      </c>
      <c r="B602">
        <f t="shared" si="84"/>
        <v>10.39</v>
      </c>
      <c r="C602" s="1" t="s">
        <v>57</v>
      </c>
      <c r="D602" s="1" t="s">
        <v>62</v>
      </c>
      <c r="E602" s="1" t="s">
        <v>67</v>
      </c>
      <c r="F602" s="1" t="s">
        <v>53</v>
      </c>
      <c r="G602">
        <v>2196</v>
      </c>
      <c r="H602" s="4">
        <v>36.97</v>
      </c>
      <c r="I602" s="4">
        <v>118</v>
      </c>
      <c r="J602" s="4">
        <v>54</v>
      </c>
      <c r="K602" s="4">
        <v>63.95</v>
      </c>
      <c r="L602" s="4">
        <v>71</v>
      </c>
      <c r="M602" s="4">
        <v>53</v>
      </c>
      <c r="N602" s="4">
        <v>79</v>
      </c>
      <c r="O602" s="4">
        <v>46</v>
      </c>
      <c r="P602" s="4">
        <v>33.244849893357902</v>
      </c>
      <c r="Q602" s="4">
        <v>54.678642335907</v>
      </c>
      <c r="R602" s="4">
        <v>44</v>
      </c>
      <c r="S602" s="7" t="s">
        <v>35</v>
      </c>
      <c r="T602" s="4">
        <v>310657</v>
      </c>
      <c r="U602" s="4">
        <v>380049</v>
      </c>
      <c r="V602" s="4">
        <v>4530</v>
      </c>
      <c r="W602" s="4">
        <v>121100</v>
      </c>
      <c r="X602" s="4">
        <v>83108</v>
      </c>
      <c r="Y602" s="4">
        <v>284000</v>
      </c>
      <c r="Z602" s="4">
        <v>120000</v>
      </c>
      <c r="AA602" s="4">
        <v>14041</v>
      </c>
      <c r="AB602" s="4">
        <v>84614</v>
      </c>
      <c r="AC602" s="4">
        <v>198286</v>
      </c>
      <c r="AD602" s="4">
        <v>3511</v>
      </c>
      <c r="AE602" s="4">
        <v>28785</v>
      </c>
      <c r="AF602" s="4">
        <v>315196</v>
      </c>
      <c r="AG602" s="6">
        <v>25785</v>
      </c>
      <c r="AH602" s="6">
        <v>25754</v>
      </c>
      <c r="AI602" s="6">
        <v>31</v>
      </c>
      <c r="AL602" s="4">
        <v>1265</v>
      </c>
      <c r="AM602" s="4">
        <v>8133</v>
      </c>
      <c r="AN602" s="4">
        <v>712</v>
      </c>
      <c r="AV602" s="4">
        <v>221</v>
      </c>
      <c r="AW602" s="4">
        <v>232</v>
      </c>
    </row>
    <row r="603" spans="1:49" x14ac:dyDescent="0.2">
      <c r="A603" s="1">
        <v>44124</v>
      </c>
      <c r="B603">
        <f t="shared" si="84"/>
        <v>10.39</v>
      </c>
      <c r="C603" s="1" t="s">
        <v>57</v>
      </c>
      <c r="D603" s="1" t="s">
        <v>62</v>
      </c>
      <c r="E603" s="1" t="s">
        <v>67</v>
      </c>
      <c r="F603" s="1" t="s">
        <v>53</v>
      </c>
      <c r="G603">
        <v>2208</v>
      </c>
      <c r="H603" s="4">
        <v>37.57</v>
      </c>
      <c r="I603" s="4">
        <v>116</v>
      </c>
      <c r="J603" s="4">
        <v>54</v>
      </c>
      <c r="K603" s="4">
        <v>68.84</v>
      </c>
      <c r="L603" s="4">
        <v>109</v>
      </c>
      <c r="M603" s="4">
        <v>59</v>
      </c>
      <c r="N603" s="4">
        <v>85</v>
      </c>
      <c r="O603" s="4">
        <v>49</v>
      </c>
      <c r="P603" s="4">
        <v>33.725680615811598</v>
      </c>
      <c r="Q603" s="4">
        <v>57.707146758476902</v>
      </c>
      <c r="R603" s="4">
        <v>45</v>
      </c>
      <c r="S603" s="7" t="s">
        <v>35</v>
      </c>
      <c r="T603" s="4">
        <v>281796</v>
      </c>
      <c r="U603" s="4">
        <v>373533</v>
      </c>
      <c r="V603" s="4">
        <v>3886</v>
      </c>
      <c r="W603" s="4">
        <v>121100</v>
      </c>
      <c r="X603" s="4">
        <v>83574</v>
      </c>
      <c r="Y603" s="4">
        <v>281000</v>
      </c>
      <c r="Z603" s="4">
        <v>120000</v>
      </c>
      <c r="AA603" s="4">
        <v>10059</v>
      </c>
      <c r="AB603" s="4">
        <v>79540</v>
      </c>
      <c r="AC603" s="4">
        <v>180880</v>
      </c>
      <c r="AD603" s="4">
        <v>3886</v>
      </c>
      <c r="AE603" s="4">
        <v>21376</v>
      </c>
      <c r="AF603" s="4">
        <v>285682</v>
      </c>
      <c r="AG603" s="6">
        <v>25680</v>
      </c>
      <c r="AH603" s="6">
        <v>25631</v>
      </c>
      <c r="AI603" s="6">
        <v>49</v>
      </c>
      <c r="AL603" s="4">
        <v>1191</v>
      </c>
      <c r="AM603" s="4">
        <v>7853</v>
      </c>
      <c r="AN603" s="4">
        <v>698</v>
      </c>
      <c r="AV603" s="4">
        <v>200</v>
      </c>
      <c r="AW603" s="4">
        <v>210</v>
      </c>
    </row>
    <row r="604" spans="1:49" x14ac:dyDescent="0.2">
      <c r="A604" s="1">
        <v>44123</v>
      </c>
      <c r="B604">
        <f t="shared" si="84"/>
        <v>10.39</v>
      </c>
      <c r="C604" s="1" t="s">
        <v>57</v>
      </c>
      <c r="D604" s="1" t="s">
        <v>62</v>
      </c>
      <c r="E604" s="1" t="s">
        <v>67</v>
      </c>
      <c r="F604" s="1" t="s">
        <v>53</v>
      </c>
      <c r="G604">
        <v>2203</v>
      </c>
      <c r="H604" s="4">
        <v>35.36</v>
      </c>
      <c r="I604" s="4">
        <v>116</v>
      </c>
      <c r="J604" s="4">
        <v>54</v>
      </c>
      <c r="K604" s="4">
        <v>66.12</v>
      </c>
      <c r="L604" s="4">
        <v>116</v>
      </c>
      <c r="M604" s="4">
        <v>62</v>
      </c>
      <c r="N604" s="4">
        <v>86</v>
      </c>
      <c r="O604" s="4">
        <v>49</v>
      </c>
      <c r="P604" s="4">
        <v>33.865729532339103</v>
      </c>
      <c r="Q604" s="4">
        <v>58.0643047541949</v>
      </c>
      <c r="R604" s="4">
        <v>45</v>
      </c>
      <c r="S604" s="7" t="s">
        <v>35</v>
      </c>
      <c r="T604" s="4">
        <v>262860</v>
      </c>
      <c r="U604" s="4">
        <v>362121</v>
      </c>
      <c r="V604" s="4">
        <v>3192</v>
      </c>
      <c r="W604" s="4">
        <v>121100</v>
      </c>
      <c r="X604" s="4">
        <v>83220</v>
      </c>
      <c r="Y604" s="4">
        <v>276000</v>
      </c>
      <c r="Z604" s="4">
        <v>120000</v>
      </c>
      <c r="AA604" s="4">
        <v>4001</v>
      </c>
      <c r="AB604" s="4">
        <v>67090</v>
      </c>
      <c r="AC604" s="4">
        <v>169118</v>
      </c>
      <c r="AD604" s="4">
        <v>3192</v>
      </c>
      <c r="AE604" s="4">
        <v>26652</v>
      </c>
      <c r="AF604" s="4">
        <v>266052</v>
      </c>
      <c r="AG604" s="6">
        <v>25926</v>
      </c>
      <c r="AH604" s="6">
        <v>25892</v>
      </c>
      <c r="AI604" s="6">
        <v>34</v>
      </c>
      <c r="AL604" s="4">
        <v>1106</v>
      </c>
      <c r="AM604" s="4">
        <v>7335</v>
      </c>
      <c r="AN604" s="4">
        <v>658</v>
      </c>
      <c r="AV604" s="4">
        <v>192</v>
      </c>
      <c r="AW604" s="4">
        <v>193</v>
      </c>
    </row>
    <row r="605" spans="1:49" x14ac:dyDescent="0.2">
      <c r="A605" s="1">
        <v>44122</v>
      </c>
      <c r="B605">
        <v>5.84</v>
      </c>
      <c r="C605" s="1" t="s">
        <v>57</v>
      </c>
      <c r="D605" s="1" t="s">
        <v>62</v>
      </c>
      <c r="E605" s="1" t="s">
        <v>67</v>
      </c>
      <c r="F605" s="1" t="s">
        <v>53</v>
      </c>
      <c r="G605">
        <v>2206</v>
      </c>
      <c r="H605" s="4">
        <v>61.13</v>
      </c>
      <c r="I605" s="4">
        <v>107</v>
      </c>
      <c r="J605" s="4">
        <v>85</v>
      </c>
      <c r="K605" s="4">
        <v>70.3</v>
      </c>
      <c r="L605" s="4">
        <v>108</v>
      </c>
      <c r="M605" s="4">
        <v>60</v>
      </c>
      <c r="N605" s="4">
        <v>82</v>
      </c>
      <c r="O605" s="4">
        <v>54</v>
      </c>
      <c r="P605" s="4">
        <v>44.366501816092402</v>
      </c>
      <c r="Q605" s="4">
        <v>61.487587816171597</v>
      </c>
      <c r="R605" s="4">
        <v>51</v>
      </c>
      <c r="S605" s="7" t="s">
        <v>35</v>
      </c>
      <c r="T605" s="4">
        <v>306452</v>
      </c>
      <c r="U605" s="4">
        <v>330370</v>
      </c>
      <c r="V605" s="4">
        <v>495</v>
      </c>
      <c r="W605" s="4">
        <v>121100</v>
      </c>
      <c r="X605" s="4">
        <v>83370</v>
      </c>
      <c r="Y605" s="4">
        <v>247000</v>
      </c>
      <c r="Z605" s="4">
        <v>120000</v>
      </c>
      <c r="AA605" s="4">
        <v>1100</v>
      </c>
      <c r="AB605" s="4">
        <v>56914</v>
      </c>
      <c r="AC605" s="4">
        <v>223529</v>
      </c>
      <c r="AD605" s="4">
        <v>495</v>
      </c>
      <c r="AE605" s="4">
        <v>26009</v>
      </c>
      <c r="AF605" s="4">
        <v>306947</v>
      </c>
      <c r="AG605" s="6">
        <v>14330</v>
      </c>
      <c r="AH605" s="6">
        <v>14309</v>
      </c>
      <c r="AI605" s="6">
        <v>21</v>
      </c>
      <c r="AL605" s="4">
        <v>1091</v>
      </c>
      <c r="AM605" s="4">
        <v>6830</v>
      </c>
      <c r="AN605" s="4">
        <v>630</v>
      </c>
      <c r="AV605" s="4">
        <v>161</v>
      </c>
      <c r="AW605" s="4">
        <v>167</v>
      </c>
    </row>
    <row r="606" spans="1:49" x14ac:dyDescent="0.2">
      <c r="A606" s="1">
        <v>44121</v>
      </c>
      <c r="B606">
        <f>B605</f>
        <v>5.84</v>
      </c>
      <c r="C606" s="1" t="s">
        <v>57</v>
      </c>
      <c r="D606" s="1" t="s">
        <v>62</v>
      </c>
      <c r="E606" s="1" t="s">
        <v>67</v>
      </c>
      <c r="F606" s="1" t="s">
        <v>53</v>
      </c>
      <c r="G606">
        <v>2230</v>
      </c>
      <c r="H606" s="4">
        <v>57.13</v>
      </c>
      <c r="I606" s="4">
        <v>108</v>
      </c>
      <c r="J606" s="4">
        <v>85</v>
      </c>
      <c r="K606" s="4">
        <v>93.09</v>
      </c>
      <c r="L606" s="4">
        <v>86</v>
      </c>
      <c r="M606" s="4">
        <v>57</v>
      </c>
      <c r="N606" s="4">
        <v>84</v>
      </c>
      <c r="O606" s="4">
        <v>53</v>
      </c>
      <c r="P606" s="4">
        <v>39.946542097668498</v>
      </c>
      <c r="Q606" s="4">
        <v>57.647737522744301</v>
      </c>
      <c r="R606" s="4">
        <v>51</v>
      </c>
      <c r="S606" s="7" t="s">
        <v>35</v>
      </c>
      <c r="T606" s="4">
        <v>306868</v>
      </c>
      <c r="U606" s="4">
        <v>327668</v>
      </c>
      <c r="V606" s="4">
        <v>1226</v>
      </c>
      <c r="W606" s="4">
        <v>121100</v>
      </c>
      <c r="X606" s="4">
        <v>80668</v>
      </c>
      <c r="Y606" s="4">
        <v>247000</v>
      </c>
      <c r="Z606" s="4">
        <v>120000</v>
      </c>
      <c r="AA606" s="4">
        <v>1100</v>
      </c>
      <c r="AB606" s="4">
        <v>68049</v>
      </c>
      <c r="AC606" s="4">
        <v>207980</v>
      </c>
      <c r="AD606" s="4">
        <v>1226</v>
      </c>
      <c r="AE606" s="4">
        <v>30839</v>
      </c>
      <c r="AF606" s="4">
        <v>308094</v>
      </c>
      <c r="AG606" s="6">
        <v>14888</v>
      </c>
      <c r="AH606" s="6">
        <v>14870</v>
      </c>
      <c r="AI606" s="6">
        <v>18</v>
      </c>
      <c r="AL606" s="4">
        <v>1031</v>
      </c>
      <c r="AM606" s="4">
        <v>6546</v>
      </c>
      <c r="AN606" s="4">
        <v>614</v>
      </c>
      <c r="AV606" s="4">
        <v>179</v>
      </c>
      <c r="AW606" s="4">
        <v>186</v>
      </c>
    </row>
    <row r="607" spans="1:49" x14ac:dyDescent="0.2">
      <c r="A607" s="1">
        <v>44120</v>
      </c>
      <c r="B607">
        <f t="shared" ref="B607:B611" si="85">B606</f>
        <v>5.84</v>
      </c>
      <c r="C607" s="1" t="s">
        <v>57</v>
      </c>
      <c r="D607" s="1" t="s">
        <v>62</v>
      </c>
      <c r="E607" s="1" t="s">
        <v>67</v>
      </c>
      <c r="F607" s="1" t="s">
        <v>53</v>
      </c>
      <c r="G607">
        <v>2252</v>
      </c>
      <c r="H607" s="4">
        <v>66.09</v>
      </c>
      <c r="I607" s="4">
        <v>114</v>
      </c>
      <c r="J607" s="4">
        <v>59</v>
      </c>
      <c r="K607" s="4">
        <v>89</v>
      </c>
      <c r="L607" s="4">
        <v>97</v>
      </c>
      <c r="M607" s="4">
        <v>61</v>
      </c>
      <c r="N607" s="4">
        <v>90</v>
      </c>
      <c r="O607" s="4">
        <v>55</v>
      </c>
      <c r="P607" s="4">
        <v>38.617178080127303</v>
      </c>
      <c r="Q607" s="4">
        <v>61.0420722734614</v>
      </c>
      <c r="R607" s="4">
        <v>55</v>
      </c>
      <c r="S607" s="7" t="s">
        <v>35</v>
      </c>
      <c r="T607" s="4">
        <v>311564</v>
      </c>
      <c r="U607" s="4">
        <v>328461</v>
      </c>
      <c r="V607" s="4">
        <v>6078</v>
      </c>
      <c r="W607" s="4">
        <v>121100</v>
      </c>
      <c r="X607" s="4">
        <v>83461</v>
      </c>
      <c r="Y607" s="4">
        <v>245000</v>
      </c>
      <c r="Z607" s="4">
        <v>120000</v>
      </c>
      <c r="AA607" s="4">
        <v>1100</v>
      </c>
      <c r="AB607" s="4">
        <v>74446</v>
      </c>
      <c r="AC607" s="4">
        <v>214369</v>
      </c>
      <c r="AD607" s="4">
        <v>4419</v>
      </c>
      <c r="AE607" s="4">
        <v>24408</v>
      </c>
      <c r="AF607" s="4">
        <v>317642</v>
      </c>
      <c r="AG607" s="6">
        <v>17938</v>
      </c>
      <c r="AH607" s="6">
        <v>17900</v>
      </c>
      <c r="AI607" s="6">
        <v>38</v>
      </c>
      <c r="AL607" s="4">
        <v>925</v>
      </c>
      <c r="AM607" s="4">
        <v>6297</v>
      </c>
      <c r="AN607" s="4">
        <v>592</v>
      </c>
      <c r="AV607" s="4">
        <v>150</v>
      </c>
      <c r="AW607" s="4">
        <v>162</v>
      </c>
    </row>
    <row r="608" spans="1:49" x14ac:dyDescent="0.2">
      <c r="A608" s="1">
        <v>44119</v>
      </c>
      <c r="B608">
        <f t="shared" si="85"/>
        <v>5.84</v>
      </c>
      <c r="C608" s="1" t="s">
        <v>57</v>
      </c>
      <c r="D608" s="1" t="s">
        <v>62</v>
      </c>
      <c r="E608" s="1" t="s">
        <v>67</v>
      </c>
      <c r="F608" s="1" t="s">
        <v>53</v>
      </c>
      <c r="G608">
        <v>2279</v>
      </c>
      <c r="H608" s="4">
        <v>56.52</v>
      </c>
      <c r="I608" s="4">
        <v>115</v>
      </c>
      <c r="J608" s="4">
        <v>57</v>
      </c>
      <c r="K608" s="4">
        <v>74.45</v>
      </c>
      <c r="L608" s="4">
        <v>96</v>
      </c>
      <c r="M608" s="4">
        <v>61</v>
      </c>
      <c r="N608" s="4">
        <v>87</v>
      </c>
      <c r="O608" s="4">
        <v>51</v>
      </c>
      <c r="P608" s="4">
        <v>37.0471821745911</v>
      </c>
      <c r="Q608" s="4">
        <v>60.1551552593737</v>
      </c>
      <c r="R608" s="4">
        <v>50</v>
      </c>
      <c r="S608" s="7" t="s">
        <v>35</v>
      </c>
      <c r="T608" s="4">
        <v>304185</v>
      </c>
      <c r="U608" s="4">
        <v>323006</v>
      </c>
      <c r="V608" s="4">
        <v>4541</v>
      </c>
      <c r="W608" s="4">
        <v>121100</v>
      </c>
      <c r="X608" s="4">
        <v>83306</v>
      </c>
      <c r="Y608" s="4">
        <v>239700</v>
      </c>
      <c r="Z608" s="4">
        <v>120000</v>
      </c>
      <c r="AA608" s="4">
        <v>1100</v>
      </c>
      <c r="AB608" s="4">
        <v>79311</v>
      </c>
      <c r="AC608" s="4">
        <v>199272</v>
      </c>
      <c r="AD608" s="4">
        <v>3742</v>
      </c>
      <c r="AE608" s="4">
        <v>26401</v>
      </c>
      <c r="AF608" s="4">
        <v>308726</v>
      </c>
      <c r="AG608" s="6">
        <v>18639</v>
      </c>
      <c r="AH608" s="6">
        <v>18599</v>
      </c>
      <c r="AI608" s="6">
        <v>40</v>
      </c>
      <c r="AL608" s="4">
        <v>1044</v>
      </c>
      <c r="AM608" s="4">
        <v>5934</v>
      </c>
      <c r="AN608" s="4">
        <v>581</v>
      </c>
      <c r="AV608" s="4">
        <v>151</v>
      </c>
      <c r="AW608" s="4">
        <v>152</v>
      </c>
    </row>
    <row r="609" spans="1:49" x14ac:dyDescent="0.2">
      <c r="A609" s="1">
        <v>44118</v>
      </c>
      <c r="B609">
        <f t="shared" si="85"/>
        <v>5.84</v>
      </c>
      <c r="C609" s="1" t="s">
        <v>57</v>
      </c>
      <c r="D609" s="1" t="s">
        <v>62</v>
      </c>
      <c r="E609" s="1" t="s">
        <v>67</v>
      </c>
      <c r="F609" s="1" t="s">
        <v>53</v>
      </c>
      <c r="G609">
        <v>2304</v>
      </c>
      <c r="H609" s="4">
        <v>50.93</v>
      </c>
      <c r="I609" s="4">
        <v>115</v>
      </c>
      <c r="J609" s="4">
        <v>57</v>
      </c>
      <c r="K609" s="4">
        <v>74.73</v>
      </c>
      <c r="L609" s="4">
        <v>97</v>
      </c>
      <c r="M609" s="4">
        <v>60</v>
      </c>
      <c r="N609" s="4">
        <v>86</v>
      </c>
      <c r="O609" s="4">
        <v>51</v>
      </c>
      <c r="P609" s="4">
        <v>36.393954711784403</v>
      </c>
      <c r="Q609" s="4">
        <v>60.373352913543002</v>
      </c>
      <c r="R609" s="4">
        <v>50</v>
      </c>
      <c r="S609" s="7" t="s">
        <v>35</v>
      </c>
      <c r="T609" s="4">
        <v>293867</v>
      </c>
      <c r="U609" s="4">
        <v>345135</v>
      </c>
      <c r="V609" s="4">
        <v>4833</v>
      </c>
      <c r="W609" s="4">
        <v>121100</v>
      </c>
      <c r="X609" s="4">
        <v>83710</v>
      </c>
      <c r="Y609" s="4">
        <v>261425</v>
      </c>
      <c r="Z609" s="4">
        <v>120000</v>
      </c>
      <c r="AA609" s="4">
        <v>1100</v>
      </c>
      <c r="AB609" s="4">
        <v>78258</v>
      </c>
      <c r="AC609" s="4">
        <v>193713</v>
      </c>
      <c r="AD609" s="4">
        <v>3891</v>
      </c>
      <c r="AE609" s="4">
        <v>22838</v>
      </c>
      <c r="AF609" s="4">
        <v>298700</v>
      </c>
      <c r="AG609" s="6">
        <v>19933</v>
      </c>
      <c r="AH609" s="6">
        <v>19906</v>
      </c>
      <c r="AI609" s="6">
        <v>27</v>
      </c>
      <c r="AL609" s="4">
        <v>983</v>
      </c>
      <c r="AM609" s="4">
        <v>5599</v>
      </c>
      <c r="AN609" s="4">
        <v>563</v>
      </c>
      <c r="AV609" s="4">
        <v>117</v>
      </c>
      <c r="AW609" s="4">
        <v>123</v>
      </c>
    </row>
    <row r="610" spans="1:49" x14ac:dyDescent="0.2">
      <c r="A610" s="1">
        <v>44117</v>
      </c>
      <c r="B610">
        <f t="shared" si="85"/>
        <v>5.84</v>
      </c>
      <c r="C610" s="1" t="s">
        <v>57</v>
      </c>
      <c r="D610" s="1" t="s">
        <v>62</v>
      </c>
      <c r="E610" s="1" t="s">
        <v>67</v>
      </c>
      <c r="F610" s="1" t="s">
        <v>53</v>
      </c>
      <c r="G610">
        <v>2321</v>
      </c>
      <c r="H610" s="4">
        <v>44.86</v>
      </c>
      <c r="I610" s="4">
        <v>116</v>
      </c>
      <c r="J610" s="4">
        <v>55</v>
      </c>
      <c r="K610" s="4">
        <v>66.319999999999993</v>
      </c>
      <c r="L610" s="4">
        <v>79</v>
      </c>
      <c r="M610" s="4">
        <v>57</v>
      </c>
      <c r="N610" s="4">
        <v>81</v>
      </c>
      <c r="O610" s="4">
        <v>50</v>
      </c>
      <c r="P610" s="4">
        <v>35.736981003211199</v>
      </c>
      <c r="Q610" s="4">
        <v>59.689715330785702</v>
      </c>
      <c r="R610" s="4">
        <v>48</v>
      </c>
      <c r="S610" s="7" t="s">
        <v>35</v>
      </c>
      <c r="T610" s="4">
        <v>267004</v>
      </c>
      <c r="U610" s="4">
        <v>344426</v>
      </c>
      <c r="V610" s="4">
        <v>3429</v>
      </c>
      <c r="W610" s="4">
        <v>121100</v>
      </c>
      <c r="X610" s="4">
        <v>83426</v>
      </c>
      <c r="Y610" s="4">
        <v>261000</v>
      </c>
      <c r="Z610" s="4">
        <v>120000</v>
      </c>
      <c r="AA610" s="4">
        <v>1100</v>
      </c>
      <c r="AB610" s="4">
        <v>72878</v>
      </c>
      <c r="AC610" s="4">
        <v>179296</v>
      </c>
      <c r="AD610" s="4">
        <v>3163</v>
      </c>
      <c r="AE610" s="4">
        <v>15096</v>
      </c>
      <c r="AF610" s="4">
        <v>270433</v>
      </c>
      <c r="AG610" s="6">
        <v>19135</v>
      </c>
      <c r="AH610" s="6">
        <v>19100</v>
      </c>
      <c r="AI610" s="6">
        <v>35</v>
      </c>
      <c r="AL610" s="4">
        <v>1029</v>
      </c>
      <c r="AM610" s="4">
        <v>5294</v>
      </c>
      <c r="AN610" s="4">
        <v>516</v>
      </c>
      <c r="AV610" s="4">
        <v>111</v>
      </c>
      <c r="AW610" s="4">
        <v>119</v>
      </c>
    </row>
    <row r="611" spans="1:49" x14ac:dyDescent="0.2">
      <c r="A611" s="1">
        <v>44116</v>
      </c>
      <c r="B611">
        <f t="shared" si="85"/>
        <v>5.84</v>
      </c>
      <c r="C611" s="1" t="s">
        <v>57</v>
      </c>
      <c r="D611" s="1" t="s">
        <v>62</v>
      </c>
      <c r="E611" s="1" t="s">
        <v>67</v>
      </c>
      <c r="F611" s="1" t="s">
        <v>53</v>
      </c>
      <c r="G611">
        <v>2339</v>
      </c>
      <c r="H611" s="4">
        <v>41.44</v>
      </c>
      <c r="I611" s="4">
        <v>115</v>
      </c>
      <c r="J611" s="4">
        <v>55</v>
      </c>
      <c r="K611" s="4">
        <v>64.86</v>
      </c>
      <c r="L611" s="4">
        <v>92</v>
      </c>
      <c r="M611" s="4">
        <v>60</v>
      </c>
      <c r="N611" s="4">
        <v>83</v>
      </c>
      <c r="O611" s="4">
        <v>51</v>
      </c>
      <c r="P611" s="4">
        <v>35.438914290313903</v>
      </c>
      <c r="Q611" s="4">
        <v>59.932297724974902</v>
      </c>
      <c r="R611" s="4">
        <v>48</v>
      </c>
      <c r="S611" s="7" t="s">
        <v>35</v>
      </c>
      <c r="T611" s="4">
        <v>221572</v>
      </c>
      <c r="U611" s="4">
        <v>344159</v>
      </c>
      <c r="V611" s="4">
        <v>2973</v>
      </c>
      <c r="W611" s="4">
        <v>121100</v>
      </c>
      <c r="X611" s="4">
        <v>83159</v>
      </c>
      <c r="Y611" s="4">
        <v>261000</v>
      </c>
      <c r="Z611" s="4">
        <v>120000</v>
      </c>
      <c r="AA611" s="4">
        <v>1100</v>
      </c>
      <c r="AB611" s="4">
        <v>59505</v>
      </c>
      <c r="AC611" s="4">
        <v>142204</v>
      </c>
      <c r="AD611" s="4">
        <v>2698</v>
      </c>
      <c r="AE611" s="4">
        <v>20138</v>
      </c>
      <c r="AF611" s="4">
        <v>224545</v>
      </c>
      <c r="AG611" s="6">
        <v>19710</v>
      </c>
      <c r="AH611" s="6">
        <v>19681</v>
      </c>
      <c r="AI611" s="6">
        <v>29</v>
      </c>
      <c r="AL611" s="4">
        <v>888</v>
      </c>
      <c r="AM611" s="4">
        <v>4960</v>
      </c>
      <c r="AN611" s="4">
        <v>507</v>
      </c>
      <c r="AV611" s="4">
        <v>114</v>
      </c>
      <c r="AW611" s="4">
        <v>120</v>
      </c>
    </row>
    <row r="612" spans="1:49" x14ac:dyDescent="0.2">
      <c r="A612" s="1">
        <v>44115</v>
      </c>
      <c r="B612">
        <v>1.1000000000000001</v>
      </c>
      <c r="C612" s="1" t="s">
        <v>57</v>
      </c>
      <c r="D612" s="1" t="s">
        <v>62</v>
      </c>
      <c r="E612" s="1" t="s">
        <v>67</v>
      </c>
      <c r="F612" s="1" t="s">
        <v>53</v>
      </c>
      <c r="G612">
        <v>2353</v>
      </c>
      <c r="H612" s="4">
        <v>73.12</v>
      </c>
      <c r="I612" s="4">
        <v>105</v>
      </c>
      <c r="J612" s="4">
        <v>87</v>
      </c>
      <c r="K612" s="4">
        <v>79.11</v>
      </c>
      <c r="L612" s="4">
        <v>114</v>
      </c>
      <c r="M612" s="4">
        <v>64</v>
      </c>
      <c r="N612" s="4">
        <v>82</v>
      </c>
      <c r="O612" s="4">
        <v>59</v>
      </c>
      <c r="P612" s="4">
        <v>47.736786303037803</v>
      </c>
      <c r="Q612" s="4">
        <v>65.995462636233498</v>
      </c>
      <c r="R612" s="4">
        <v>58</v>
      </c>
      <c r="S612" s="7" t="s">
        <v>35</v>
      </c>
      <c r="T612" s="4">
        <v>258442</v>
      </c>
      <c r="U612" s="4">
        <v>309921</v>
      </c>
      <c r="V612" s="4">
        <v>523</v>
      </c>
      <c r="W612" s="4">
        <v>121100</v>
      </c>
      <c r="X612" s="4">
        <v>82921</v>
      </c>
      <c r="Y612" s="4">
        <v>227000</v>
      </c>
      <c r="Z612" s="4">
        <v>120000</v>
      </c>
      <c r="AA612" s="4">
        <v>1100</v>
      </c>
      <c r="AB612" s="4">
        <v>52714</v>
      </c>
      <c r="AC612" s="4">
        <v>184411</v>
      </c>
      <c r="AD612" s="4">
        <v>523</v>
      </c>
      <c r="AE612" s="4">
        <v>21317</v>
      </c>
      <c r="AF612" s="4">
        <v>258965</v>
      </c>
      <c r="AG612" s="6">
        <v>12213</v>
      </c>
      <c r="AH612" s="6">
        <v>12203</v>
      </c>
      <c r="AI612" s="6">
        <v>10</v>
      </c>
      <c r="AL612" s="4">
        <v>825</v>
      </c>
      <c r="AM612" s="4">
        <v>4671</v>
      </c>
      <c r="AN612" s="4">
        <v>477</v>
      </c>
      <c r="AV612" s="4">
        <v>125</v>
      </c>
      <c r="AW612" s="4">
        <v>128</v>
      </c>
    </row>
    <row r="613" spans="1:49" x14ac:dyDescent="0.2">
      <c r="A613" s="1">
        <v>44114</v>
      </c>
      <c r="B613">
        <f>B612</f>
        <v>1.1000000000000001</v>
      </c>
      <c r="C613" s="1" t="s">
        <v>57</v>
      </c>
      <c r="D613" s="1" t="s">
        <v>62</v>
      </c>
      <c r="E613" s="1" t="s">
        <v>67</v>
      </c>
      <c r="F613" s="1" t="s">
        <v>53</v>
      </c>
      <c r="G613">
        <v>2360</v>
      </c>
      <c r="H613" s="4">
        <v>75.680000000000007</v>
      </c>
      <c r="I613" s="4">
        <v>107</v>
      </c>
      <c r="J613" s="4">
        <v>86</v>
      </c>
      <c r="K613" s="4">
        <v>109.36</v>
      </c>
      <c r="L613" s="4">
        <v>83</v>
      </c>
      <c r="M613" s="4">
        <v>61</v>
      </c>
      <c r="N613" s="4">
        <v>84</v>
      </c>
      <c r="O613" s="4">
        <v>58</v>
      </c>
      <c r="P613" s="4">
        <v>43.817849629673901</v>
      </c>
      <c r="Q613" s="4">
        <v>61.656894138261201</v>
      </c>
      <c r="R613" s="4">
        <v>59</v>
      </c>
      <c r="S613" s="7" t="s">
        <v>35</v>
      </c>
      <c r="T613" s="4">
        <v>278626</v>
      </c>
      <c r="U613" s="4">
        <v>308630</v>
      </c>
      <c r="V613" s="4">
        <v>2370</v>
      </c>
      <c r="W613" s="4">
        <v>121100</v>
      </c>
      <c r="X613" s="4">
        <v>80630</v>
      </c>
      <c r="Y613" s="4">
        <v>228000</v>
      </c>
      <c r="Z613" s="4">
        <v>120000</v>
      </c>
      <c r="AA613" s="4">
        <v>1100</v>
      </c>
      <c r="AB613" s="4">
        <v>66263</v>
      </c>
      <c r="AC613" s="4">
        <v>188947</v>
      </c>
      <c r="AD613" s="4">
        <v>1307</v>
      </c>
      <c r="AE613" s="4">
        <v>24479</v>
      </c>
      <c r="AF613" s="4">
        <v>280996</v>
      </c>
      <c r="AG613" s="6">
        <v>12652</v>
      </c>
      <c r="AH613" s="6">
        <v>12636</v>
      </c>
      <c r="AI613" s="6">
        <v>16</v>
      </c>
      <c r="AL613" s="4">
        <v>723</v>
      </c>
      <c r="AM613" s="4">
        <v>4359</v>
      </c>
      <c r="AN613" s="4">
        <v>469</v>
      </c>
      <c r="AV613" s="4">
        <v>104</v>
      </c>
      <c r="AW613" s="4">
        <v>107</v>
      </c>
    </row>
    <row r="614" spans="1:49" x14ac:dyDescent="0.2">
      <c r="A614" s="1">
        <v>44113</v>
      </c>
      <c r="B614">
        <f t="shared" ref="B614:B618" si="86">B613</f>
        <v>1.1000000000000001</v>
      </c>
      <c r="C614" s="1" t="s">
        <v>57</v>
      </c>
      <c r="D614" s="1" t="s">
        <v>62</v>
      </c>
      <c r="E614" s="1" t="s">
        <v>67</v>
      </c>
      <c r="F614" s="1" t="s">
        <v>53</v>
      </c>
      <c r="G614">
        <v>2385</v>
      </c>
      <c r="H614" s="4">
        <v>59.36</v>
      </c>
      <c r="I614" s="4">
        <v>114</v>
      </c>
      <c r="J614" s="4">
        <v>58</v>
      </c>
      <c r="K614" s="4">
        <v>86.49</v>
      </c>
      <c r="L614" s="4">
        <v>91</v>
      </c>
      <c r="M614" s="4">
        <v>59</v>
      </c>
      <c r="N614" s="4">
        <v>86</v>
      </c>
      <c r="O614" s="4">
        <v>53</v>
      </c>
      <c r="P614" s="4">
        <v>37.462378584102098</v>
      </c>
      <c r="Q614" s="4">
        <v>60.126020708253002</v>
      </c>
      <c r="R614" s="4">
        <v>53</v>
      </c>
      <c r="S614" s="7" t="s">
        <v>35</v>
      </c>
      <c r="T614" s="4">
        <v>295967</v>
      </c>
      <c r="U614" s="4">
        <v>306991</v>
      </c>
      <c r="V614" s="4">
        <v>6261</v>
      </c>
      <c r="W614" s="4">
        <v>121100</v>
      </c>
      <c r="X614" s="4">
        <v>80630</v>
      </c>
      <c r="Y614" s="4">
        <v>226000</v>
      </c>
      <c r="Z614" s="4">
        <v>120000</v>
      </c>
      <c r="AA614" s="4">
        <v>1461</v>
      </c>
      <c r="AB614" s="4">
        <v>73829</v>
      </c>
      <c r="AC614" s="4">
        <v>202840</v>
      </c>
      <c r="AD614" s="4">
        <v>5303</v>
      </c>
      <c r="AE614" s="4">
        <v>20256</v>
      </c>
      <c r="AF614" s="4">
        <v>302228</v>
      </c>
      <c r="AG614" s="6">
        <v>15903</v>
      </c>
      <c r="AH614" s="6">
        <v>15869</v>
      </c>
      <c r="AI614" s="6">
        <v>34</v>
      </c>
      <c r="AL614" s="4">
        <v>708</v>
      </c>
      <c r="AM614" s="4">
        <v>4171</v>
      </c>
      <c r="AN614" s="4">
        <v>440</v>
      </c>
      <c r="AV614" s="4">
        <v>80</v>
      </c>
      <c r="AW614" s="4">
        <v>96</v>
      </c>
    </row>
    <row r="615" spans="1:49" x14ac:dyDescent="0.2">
      <c r="A615" s="1">
        <v>44112</v>
      </c>
      <c r="B615">
        <f t="shared" si="86"/>
        <v>1.1000000000000001</v>
      </c>
      <c r="C615" s="1" t="s">
        <v>57</v>
      </c>
      <c r="D615" s="1" t="s">
        <v>62</v>
      </c>
      <c r="E615" s="1" t="s">
        <v>67</v>
      </c>
      <c r="F615" s="1" t="s">
        <v>53</v>
      </c>
      <c r="G615">
        <v>2418</v>
      </c>
      <c r="H615" s="4">
        <v>49</v>
      </c>
      <c r="I615" s="4">
        <v>115</v>
      </c>
      <c r="J615" s="4">
        <v>55</v>
      </c>
      <c r="K615" s="4">
        <v>75.52</v>
      </c>
      <c r="L615" s="4">
        <v>94</v>
      </c>
      <c r="M615" s="4">
        <v>59</v>
      </c>
      <c r="N615" s="4">
        <v>84</v>
      </c>
      <c r="O615" s="4">
        <v>50</v>
      </c>
      <c r="P615" s="4">
        <v>36.028223447105297</v>
      </c>
      <c r="Q615" s="4">
        <v>58.864334323653303</v>
      </c>
      <c r="R615" s="4">
        <v>50</v>
      </c>
      <c r="S615" s="7" t="s">
        <v>35</v>
      </c>
      <c r="T615" s="4">
        <v>284423</v>
      </c>
      <c r="U615" s="4">
        <v>313844</v>
      </c>
      <c r="V615" s="4">
        <v>5089</v>
      </c>
      <c r="W615" s="4">
        <v>121100</v>
      </c>
      <c r="X615" s="4">
        <v>83249</v>
      </c>
      <c r="Y615" s="4">
        <v>230150</v>
      </c>
      <c r="Z615" s="4">
        <v>120000</v>
      </c>
      <c r="AA615" s="4">
        <v>1545</v>
      </c>
      <c r="AB615" s="4">
        <v>72185</v>
      </c>
      <c r="AC615" s="4">
        <v>198144</v>
      </c>
      <c r="AD615" s="4">
        <v>4112</v>
      </c>
      <c r="AE615" s="4">
        <v>15071</v>
      </c>
      <c r="AF615" s="4">
        <v>289512</v>
      </c>
      <c r="AG615" s="6">
        <v>18427</v>
      </c>
      <c r="AH615" s="6">
        <v>18404</v>
      </c>
      <c r="AI615" s="6">
        <v>23</v>
      </c>
      <c r="AL615" s="4">
        <v>715</v>
      </c>
      <c r="AM615" s="4">
        <v>4086</v>
      </c>
      <c r="AN615" s="4">
        <v>436</v>
      </c>
      <c r="AV615" s="4">
        <v>95</v>
      </c>
      <c r="AW615" s="4">
        <v>97</v>
      </c>
    </row>
    <row r="616" spans="1:49" x14ac:dyDescent="0.2">
      <c r="A616" s="1">
        <v>44111</v>
      </c>
      <c r="B616">
        <f t="shared" si="86"/>
        <v>1.1000000000000001</v>
      </c>
      <c r="C616" s="1" t="s">
        <v>57</v>
      </c>
      <c r="D616" s="1" t="s">
        <v>62</v>
      </c>
      <c r="E616" s="1" t="s">
        <v>67</v>
      </c>
      <c r="F616" s="1" t="s">
        <v>53</v>
      </c>
      <c r="G616">
        <v>2451</v>
      </c>
      <c r="H616" s="4">
        <v>49.02</v>
      </c>
      <c r="I616" s="4">
        <v>114</v>
      </c>
      <c r="J616" s="4">
        <v>56</v>
      </c>
      <c r="K616" s="4">
        <v>79.69</v>
      </c>
      <c r="L616" s="4">
        <v>111</v>
      </c>
      <c r="M616" s="4">
        <v>61</v>
      </c>
      <c r="N616" s="4">
        <v>85</v>
      </c>
      <c r="O616" s="4">
        <v>51</v>
      </c>
      <c r="P616" s="4">
        <v>36.292429744032702</v>
      </c>
      <c r="Q616" s="4">
        <v>60.188936184510197</v>
      </c>
      <c r="R616" s="4">
        <v>50</v>
      </c>
      <c r="S616" s="7" t="s">
        <v>35</v>
      </c>
      <c r="T616" s="4">
        <v>253291</v>
      </c>
      <c r="U616" s="4">
        <v>307635</v>
      </c>
      <c r="V616" s="4">
        <v>4965</v>
      </c>
      <c r="W616" s="4">
        <v>121100</v>
      </c>
      <c r="X616" s="4">
        <v>83164</v>
      </c>
      <c r="Y616" s="4">
        <v>220000</v>
      </c>
      <c r="Z616" s="4">
        <v>120000</v>
      </c>
      <c r="AA616" s="4">
        <v>5571</v>
      </c>
      <c r="AB616" s="4">
        <v>76388</v>
      </c>
      <c r="AC616" s="4">
        <v>160785</v>
      </c>
      <c r="AD616" s="4">
        <v>4140</v>
      </c>
      <c r="AE616" s="4">
        <v>16943</v>
      </c>
      <c r="AF616" s="4">
        <v>258256</v>
      </c>
      <c r="AG616" s="6">
        <v>18575</v>
      </c>
      <c r="AH616" s="6">
        <v>18544</v>
      </c>
      <c r="AI616" s="6">
        <v>31</v>
      </c>
      <c r="AL616" s="4">
        <v>692</v>
      </c>
      <c r="AM616" s="4">
        <v>3894</v>
      </c>
      <c r="AN616" s="4">
        <v>442</v>
      </c>
      <c r="AV616" s="4">
        <v>102</v>
      </c>
      <c r="AW616" s="4">
        <v>110</v>
      </c>
    </row>
    <row r="617" spans="1:49" x14ac:dyDescent="0.2">
      <c r="A617" s="1">
        <v>44110</v>
      </c>
      <c r="B617">
        <f t="shared" si="86"/>
        <v>1.1000000000000001</v>
      </c>
      <c r="C617" s="1" t="s">
        <v>57</v>
      </c>
      <c r="D617" s="1" t="s">
        <v>62</v>
      </c>
      <c r="E617" s="1" t="s">
        <v>67</v>
      </c>
      <c r="F617" s="1" t="s">
        <v>53</v>
      </c>
      <c r="G617">
        <v>2488</v>
      </c>
      <c r="H617" s="4">
        <v>43.86</v>
      </c>
      <c r="I617" s="4">
        <v>115</v>
      </c>
      <c r="J617" s="4">
        <v>54</v>
      </c>
      <c r="K617" s="4">
        <v>72.349999999999994</v>
      </c>
      <c r="L617" s="4">
        <v>100</v>
      </c>
      <c r="M617" s="4">
        <v>61</v>
      </c>
      <c r="N617" s="4">
        <v>85</v>
      </c>
      <c r="O617" s="4">
        <v>52</v>
      </c>
      <c r="P617" s="4">
        <v>35.270704209979201</v>
      </c>
      <c r="Q617" s="4">
        <v>59.8274010271804</v>
      </c>
      <c r="R617" s="4">
        <v>50</v>
      </c>
      <c r="S617" s="7" t="s">
        <v>35</v>
      </c>
      <c r="T617" s="4">
        <v>261933</v>
      </c>
      <c r="U617" s="4">
        <v>306173</v>
      </c>
      <c r="V617" s="4">
        <v>4473</v>
      </c>
      <c r="W617" s="4">
        <v>121100</v>
      </c>
      <c r="X617" s="4">
        <v>83070</v>
      </c>
      <c r="Y617" s="4">
        <v>220000</v>
      </c>
      <c r="Z617" s="4">
        <v>120000</v>
      </c>
      <c r="AA617" s="4">
        <v>4203</v>
      </c>
      <c r="AB617" s="4">
        <v>77124</v>
      </c>
      <c r="AC617" s="4">
        <v>163589</v>
      </c>
      <c r="AD617" s="4">
        <v>4473</v>
      </c>
      <c r="AE617" s="4">
        <v>21220</v>
      </c>
      <c r="AF617" s="4">
        <v>266406</v>
      </c>
      <c r="AG617" s="6">
        <v>17250</v>
      </c>
      <c r="AH617" s="6">
        <v>17219</v>
      </c>
      <c r="AI617" s="6">
        <v>31</v>
      </c>
      <c r="AL617" s="4">
        <v>725</v>
      </c>
      <c r="AM617" s="4">
        <v>3643</v>
      </c>
      <c r="AN617" s="4">
        <v>410</v>
      </c>
      <c r="AV617" s="4">
        <v>71</v>
      </c>
      <c r="AW617" s="4">
        <v>84</v>
      </c>
    </row>
    <row r="618" spans="1:49" x14ac:dyDescent="0.2">
      <c r="A618" s="1">
        <v>44109</v>
      </c>
      <c r="B618">
        <f t="shared" si="86"/>
        <v>1.1000000000000001</v>
      </c>
      <c r="C618" s="1" t="s">
        <v>57</v>
      </c>
      <c r="D618" s="1" t="s">
        <v>62</v>
      </c>
      <c r="E618" s="1" t="s">
        <v>67</v>
      </c>
      <c r="F618" s="1" t="s">
        <v>53</v>
      </c>
      <c r="G618">
        <v>2514</v>
      </c>
      <c r="H618" s="4">
        <v>40.31</v>
      </c>
      <c r="I618" s="4">
        <v>114</v>
      </c>
      <c r="J618" s="4">
        <v>55</v>
      </c>
      <c r="K618" s="4">
        <v>69.69</v>
      </c>
      <c r="L618" s="4">
        <v>110</v>
      </c>
      <c r="M618" s="4">
        <v>64</v>
      </c>
      <c r="N618" s="4">
        <v>87</v>
      </c>
      <c r="O618" s="4">
        <v>52</v>
      </c>
      <c r="P618" s="4">
        <v>35.270618888394999</v>
      </c>
      <c r="Q618" s="4">
        <v>60.770410622579199</v>
      </c>
      <c r="R618" s="4">
        <v>49</v>
      </c>
      <c r="S618" s="7" t="s">
        <v>35</v>
      </c>
      <c r="T618" s="4">
        <v>276046</v>
      </c>
      <c r="U618" s="4">
        <v>313802</v>
      </c>
      <c r="V618" s="4">
        <v>3503</v>
      </c>
      <c r="W618" s="4">
        <v>121100</v>
      </c>
      <c r="X618" s="4">
        <v>82587</v>
      </c>
      <c r="Y618" s="4">
        <v>220000</v>
      </c>
      <c r="Z618" s="4">
        <v>120000</v>
      </c>
      <c r="AA618" s="4">
        <v>12315</v>
      </c>
      <c r="AB618" s="4">
        <v>61333</v>
      </c>
      <c r="AC618" s="4">
        <v>174251</v>
      </c>
      <c r="AD618" s="4">
        <v>3483</v>
      </c>
      <c r="AE618" s="4">
        <v>40482</v>
      </c>
      <c r="AF618" s="4">
        <v>279549</v>
      </c>
      <c r="AG618" s="6">
        <v>16755</v>
      </c>
      <c r="AH618" s="6">
        <v>16716</v>
      </c>
      <c r="AI618" s="6">
        <v>39</v>
      </c>
      <c r="AL618" s="4">
        <v>631</v>
      </c>
      <c r="AM618" s="4">
        <v>3371</v>
      </c>
      <c r="AN618" s="4">
        <v>393</v>
      </c>
      <c r="AV618" s="4">
        <v>72</v>
      </c>
      <c r="AW618" s="4">
        <v>68</v>
      </c>
    </row>
    <row r="619" spans="1:49" x14ac:dyDescent="0.2">
      <c r="A619" s="1">
        <v>44108</v>
      </c>
      <c r="B619">
        <v>4.71</v>
      </c>
      <c r="C619" s="1" t="s">
        <v>57</v>
      </c>
      <c r="D619" s="1" t="s">
        <v>62</v>
      </c>
      <c r="E619" s="1" t="s">
        <v>67</v>
      </c>
      <c r="F619" s="1" t="s">
        <v>53</v>
      </c>
      <c r="G619">
        <v>2541</v>
      </c>
      <c r="H619" s="4">
        <v>59.66</v>
      </c>
      <c r="I619" s="4">
        <v>107</v>
      </c>
      <c r="J619" s="4">
        <v>83</v>
      </c>
      <c r="K619" s="4">
        <v>61.23</v>
      </c>
      <c r="L619" s="4">
        <v>55</v>
      </c>
      <c r="M619" s="4">
        <v>55</v>
      </c>
      <c r="N619" s="4">
        <v>74</v>
      </c>
      <c r="O619" s="4">
        <v>52</v>
      </c>
      <c r="P619" s="4">
        <v>43.257392624817903</v>
      </c>
      <c r="Q619" s="4">
        <v>57.488637200481897</v>
      </c>
      <c r="R619" s="4">
        <v>51</v>
      </c>
      <c r="S619" s="7" t="s">
        <v>35</v>
      </c>
      <c r="T619" s="4">
        <v>250553</v>
      </c>
      <c r="U619" s="4">
        <v>302150</v>
      </c>
      <c r="V619" s="4">
        <v>1275</v>
      </c>
      <c r="W619" s="4">
        <v>121100</v>
      </c>
      <c r="X619" s="4">
        <v>79547</v>
      </c>
      <c r="Y619" s="4">
        <v>219000</v>
      </c>
      <c r="Z619" s="4">
        <v>120000</v>
      </c>
      <c r="AA619" s="4">
        <v>4703</v>
      </c>
      <c r="AB619" s="4">
        <v>54187</v>
      </c>
      <c r="AC619" s="4">
        <v>169488</v>
      </c>
      <c r="AD619" s="4">
        <v>1275</v>
      </c>
      <c r="AE619" s="4">
        <v>26878</v>
      </c>
      <c r="AF619" s="4">
        <v>251828</v>
      </c>
      <c r="AG619" s="6">
        <v>11954</v>
      </c>
      <c r="AH619" s="6">
        <v>11945</v>
      </c>
      <c r="AI619" s="6">
        <v>9</v>
      </c>
      <c r="AL619" s="4">
        <v>633</v>
      </c>
      <c r="AM619" s="4">
        <v>3057</v>
      </c>
      <c r="AN619" s="4">
        <v>369</v>
      </c>
      <c r="AV619" s="4">
        <v>60</v>
      </c>
      <c r="AW619" s="4">
        <v>63</v>
      </c>
    </row>
    <row r="620" spans="1:49" x14ac:dyDescent="0.2">
      <c r="A620" s="1">
        <v>44107</v>
      </c>
      <c r="B620">
        <f>B619</f>
        <v>4.71</v>
      </c>
      <c r="C620" s="1" t="s">
        <v>57</v>
      </c>
      <c r="D620" s="1" t="s">
        <v>62</v>
      </c>
      <c r="E620" s="1" t="s">
        <v>67</v>
      </c>
      <c r="F620" s="1" t="s">
        <v>53</v>
      </c>
      <c r="G620">
        <v>2575</v>
      </c>
      <c r="H620" s="4">
        <v>62.34</v>
      </c>
      <c r="I620" s="4">
        <v>108</v>
      </c>
      <c r="J620" s="4">
        <v>83</v>
      </c>
      <c r="K620" s="4">
        <v>99.95</v>
      </c>
      <c r="L620" s="4">
        <v>68</v>
      </c>
      <c r="M620" s="4">
        <v>58</v>
      </c>
      <c r="N620" s="4">
        <v>84</v>
      </c>
      <c r="O620" s="4">
        <v>56</v>
      </c>
      <c r="P620" s="4">
        <v>41.389304037738398</v>
      </c>
      <c r="Q620" s="4">
        <v>56.9210738810837</v>
      </c>
      <c r="R620" s="4">
        <v>55</v>
      </c>
      <c r="S620" s="7" t="s">
        <v>35</v>
      </c>
      <c r="T620" s="4">
        <v>285534</v>
      </c>
      <c r="U620" s="4">
        <v>304568</v>
      </c>
      <c r="V620" s="4">
        <v>1944</v>
      </c>
      <c r="W620" s="4">
        <v>121100</v>
      </c>
      <c r="X620" s="4">
        <v>80497</v>
      </c>
      <c r="Y620" s="4">
        <v>215000</v>
      </c>
      <c r="Z620" s="4">
        <v>120000</v>
      </c>
      <c r="AA620" s="4">
        <v>10171</v>
      </c>
      <c r="AB620" s="4">
        <v>62620</v>
      </c>
      <c r="AC620" s="4">
        <v>189095</v>
      </c>
      <c r="AD620" s="4">
        <v>1944</v>
      </c>
      <c r="AE620" s="4">
        <v>33819</v>
      </c>
      <c r="AF620" s="4">
        <v>287478</v>
      </c>
      <c r="AG620" s="6">
        <v>11667</v>
      </c>
      <c r="AH620" s="6">
        <v>11657</v>
      </c>
      <c r="AI620" s="6">
        <v>10</v>
      </c>
      <c r="AL620" s="4">
        <v>536</v>
      </c>
      <c r="AM620" s="4">
        <v>2868</v>
      </c>
      <c r="AN620" s="4">
        <v>369</v>
      </c>
      <c r="AV620" s="4">
        <v>67</v>
      </c>
      <c r="AW620" s="4">
        <v>70</v>
      </c>
    </row>
    <row r="621" spans="1:49" x14ac:dyDescent="0.2">
      <c r="A621" s="1">
        <v>44106</v>
      </c>
      <c r="B621">
        <f t="shared" ref="B621:B625" si="87">B620</f>
        <v>4.71</v>
      </c>
      <c r="C621" s="1" t="s">
        <v>57</v>
      </c>
      <c r="D621" s="1" t="s">
        <v>62</v>
      </c>
      <c r="E621" s="1" t="s">
        <v>67</v>
      </c>
      <c r="F621" s="1" t="s">
        <v>53</v>
      </c>
      <c r="G621">
        <v>2590</v>
      </c>
      <c r="H621" s="4">
        <v>47.57</v>
      </c>
      <c r="I621" s="4">
        <v>116</v>
      </c>
      <c r="J621" s="4">
        <v>56</v>
      </c>
      <c r="K621" s="4">
        <v>76.5</v>
      </c>
      <c r="L621" s="4">
        <v>65</v>
      </c>
      <c r="M621" s="4">
        <v>53</v>
      </c>
      <c r="N621" s="4">
        <v>80</v>
      </c>
      <c r="O621" s="4">
        <v>51</v>
      </c>
      <c r="P621" s="4">
        <v>35.497219559677198</v>
      </c>
      <c r="Q621" s="4">
        <v>56.520318958761003</v>
      </c>
      <c r="R621" s="4">
        <v>52</v>
      </c>
      <c r="S621" s="7" t="s">
        <v>35</v>
      </c>
      <c r="T621" s="4">
        <v>269407</v>
      </c>
      <c r="U621" s="4">
        <v>305880</v>
      </c>
      <c r="V621" s="4">
        <v>6920</v>
      </c>
      <c r="W621" s="4">
        <v>121100</v>
      </c>
      <c r="X621" s="4">
        <v>83299</v>
      </c>
      <c r="Y621" s="4">
        <v>213850</v>
      </c>
      <c r="Z621" s="4">
        <v>120000</v>
      </c>
      <c r="AA621" s="4">
        <v>9831</v>
      </c>
      <c r="AB621" s="4">
        <v>71625</v>
      </c>
      <c r="AC621" s="4">
        <v>177562</v>
      </c>
      <c r="AD621" s="4">
        <v>6411</v>
      </c>
      <c r="AE621" s="4">
        <v>20729</v>
      </c>
      <c r="AF621" s="4">
        <v>276327</v>
      </c>
      <c r="AG621" s="6">
        <v>13854</v>
      </c>
      <c r="AH621" s="6">
        <v>13823</v>
      </c>
      <c r="AI621" s="6">
        <v>31</v>
      </c>
      <c r="AL621" s="4">
        <v>531</v>
      </c>
      <c r="AM621" s="4">
        <v>2724</v>
      </c>
      <c r="AN621" s="4">
        <v>369</v>
      </c>
      <c r="AV621" s="4">
        <v>70</v>
      </c>
      <c r="AW621" s="4">
        <v>74</v>
      </c>
    </row>
    <row r="622" spans="1:49" x14ac:dyDescent="0.2">
      <c r="A622" s="1">
        <v>44105</v>
      </c>
      <c r="B622">
        <f t="shared" si="87"/>
        <v>4.71</v>
      </c>
      <c r="C622" s="1" t="s">
        <v>57</v>
      </c>
      <c r="D622" s="1" t="s">
        <v>62</v>
      </c>
      <c r="E622" s="1" t="s">
        <v>67</v>
      </c>
      <c r="F622" s="1" t="s">
        <v>53</v>
      </c>
      <c r="G622">
        <v>2596</v>
      </c>
      <c r="H622" s="4">
        <v>47.28</v>
      </c>
      <c r="I622" s="4">
        <v>115</v>
      </c>
      <c r="J622" s="4">
        <v>56</v>
      </c>
      <c r="K622" s="4">
        <v>78.72</v>
      </c>
      <c r="L622" s="4">
        <v>110</v>
      </c>
      <c r="M622" s="4">
        <v>63</v>
      </c>
      <c r="N622" s="4">
        <v>88</v>
      </c>
      <c r="O622" s="4">
        <v>51</v>
      </c>
      <c r="P622" s="4">
        <v>35.728575286691097</v>
      </c>
      <c r="Q622" s="4">
        <v>60.343632821556</v>
      </c>
      <c r="R622" s="4">
        <v>50</v>
      </c>
      <c r="S622" s="7" t="s">
        <v>35</v>
      </c>
      <c r="T622" s="4">
        <v>265307</v>
      </c>
      <c r="U622" s="4">
        <v>310288</v>
      </c>
      <c r="V622" s="4">
        <v>6573</v>
      </c>
      <c r="W622" s="4">
        <v>121100</v>
      </c>
      <c r="X622" s="4">
        <v>83299</v>
      </c>
      <c r="Y622" s="4">
        <v>213400</v>
      </c>
      <c r="Z622" s="4">
        <v>120000</v>
      </c>
      <c r="AA622" s="4">
        <v>14689</v>
      </c>
      <c r="AB622" s="4">
        <v>70757</v>
      </c>
      <c r="AC622" s="4">
        <v>168669</v>
      </c>
      <c r="AD622" s="4">
        <v>5282</v>
      </c>
      <c r="AE622" s="4">
        <v>27172</v>
      </c>
      <c r="AF622" s="4">
        <v>271880</v>
      </c>
      <c r="AG622" s="6">
        <v>13358</v>
      </c>
      <c r="AH622" s="6">
        <v>13327</v>
      </c>
      <c r="AI622" s="6">
        <v>31</v>
      </c>
      <c r="AL622" s="4">
        <v>528</v>
      </c>
      <c r="AM622" s="4">
        <v>2593</v>
      </c>
      <c r="AN622" s="4">
        <v>341</v>
      </c>
      <c r="AV622" s="4">
        <v>67</v>
      </c>
      <c r="AW622" s="4">
        <v>71</v>
      </c>
    </row>
    <row r="623" spans="1:49" x14ac:dyDescent="0.2">
      <c r="A623" s="1">
        <v>44104</v>
      </c>
      <c r="B623">
        <f t="shared" si="87"/>
        <v>4.71</v>
      </c>
      <c r="C623" s="1" t="s">
        <v>57</v>
      </c>
      <c r="D623" s="1" t="s">
        <v>62</v>
      </c>
      <c r="E623" s="1" t="s">
        <v>67</v>
      </c>
      <c r="F623" s="1" t="s">
        <v>53</v>
      </c>
      <c r="G623">
        <v>2600</v>
      </c>
      <c r="H623" s="4">
        <v>49.94</v>
      </c>
      <c r="I623" s="4">
        <v>115</v>
      </c>
      <c r="J623" s="4">
        <v>54</v>
      </c>
      <c r="K623" s="4">
        <v>75.36</v>
      </c>
      <c r="L623" s="4">
        <v>92</v>
      </c>
      <c r="M623" s="4">
        <v>61</v>
      </c>
      <c r="N623" s="4">
        <v>83</v>
      </c>
      <c r="O623" s="4">
        <v>51</v>
      </c>
      <c r="P623" s="4">
        <v>35.276691848349401</v>
      </c>
      <c r="Q623" s="4">
        <v>59.893020432404903</v>
      </c>
      <c r="R623" s="4">
        <v>50</v>
      </c>
      <c r="S623" s="7" t="s">
        <v>35</v>
      </c>
      <c r="T623" s="4">
        <v>254689</v>
      </c>
      <c r="U623" s="4">
        <v>323425</v>
      </c>
      <c r="V623" s="4">
        <v>5883</v>
      </c>
      <c r="W623" s="4">
        <v>121100</v>
      </c>
      <c r="X623" s="4">
        <v>83393</v>
      </c>
      <c r="Y623" s="4">
        <v>227600</v>
      </c>
      <c r="Z623" s="4">
        <v>120000</v>
      </c>
      <c r="AA623" s="4">
        <v>13532</v>
      </c>
      <c r="AB623" s="4">
        <v>76176</v>
      </c>
      <c r="AC623" s="4">
        <v>156459</v>
      </c>
      <c r="AD623" s="4">
        <v>5705</v>
      </c>
      <c r="AE623" s="4">
        <v>22232</v>
      </c>
      <c r="AF623" s="4">
        <v>260572</v>
      </c>
      <c r="AG623" s="6">
        <v>12717</v>
      </c>
      <c r="AH623" s="6">
        <v>12683</v>
      </c>
      <c r="AI623" s="6">
        <v>34</v>
      </c>
      <c r="AL623" s="4">
        <v>451</v>
      </c>
      <c r="AM623" s="4">
        <v>2531</v>
      </c>
      <c r="AN623" s="4">
        <v>333</v>
      </c>
      <c r="AV623" s="4">
        <v>57</v>
      </c>
      <c r="AW623" s="4">
        <v>61</v>
      </c>
    </row>
    <row r="624" spans="1:49" x14ac:dyDescent="0.2">
      <c r="A624" s="1">
        <v>44103</v>
      </c>
      <c r="B624">
        <f t="shared" si="87"/>
        <v>4.71</v>
      </c>
      <c r="C624" s="1" t="s">
        <v>57</v>
      </c>
      <c r="D624" s="1" t="s">
        <v>62</v>
      </c>
      <c r="E624" s="1" t="s">
        <v>67</v>
      </c>
      <c r="F624" s="1" t="s">
        <v>53</v>
      </c>
      <c r="G624">
        <v>2611</v>
      </c>
      <c r="H624" s="4">
        <v>50.18</v>
      </c>
      <c r="I624" s="4">
        <v>115</v>
      </c>
      <c r="J624" s="4">
        <v>54</v>
      </c>
      <c r="K624" s="4">
        <v>77.08</v>
      </c>
      <c r="L624" s="4">
        <v>110</v>
      </c>
      <c r="M624" s="4">
        <v>62</v>
      </c>
      <c r="N624" s="4">
        <v>85</v>
      </c>
      <c r="O624" s="4">
        <v>51</v>
      </c>
      <c r="P624" s="4">
        <v>34.726209074446501</v>
      </c>
      <c r="Q624" s="4">
        <v>60.031424997113398</v>
      </c>
      <c r="R624" s="4">
        <v>49</v>
      </c>
      <c r="S624" s="7" t="s">
        <v>35</v>
      </c>
      <c r="T624" s="4">
        <v>233787</v>
      </c>
      <c r="U624" s="4">
        <v>296812</v>
      </c>
      <c r="V624" s="4">
        <v>5088</v>
      </c>
      <c r="W624" s="4">
        <v>121100</v>
      </c>
      <c r="X624" s="4">
        <v>83299</v>
      </c>
      <c r="Y624" s="4">
        <v>205600</v>
      </c>
      <c r="Z624" s="4">
        <v>120000</v>
      </c>
      <c r="AA624" s="4">
        <v>9013</v>
      </c>
      <c r="AB624" s="4">
        <v>71124</v>
      </c>
      <c r="AC624" s="4">
        <v>141378</v>
      </c>
      <c r="AD624" s="4">
        <v>5088</v>
      </c>
      <c r="AE624" s="4">
        <v>21285</v>
      </c>
      <c r="AF624" s="4">
        <v>238875</v>
      </c>
      <c r="AG624" s="6">
        <v>10367</v>
      </c>
      <c r="AH624" s="6">
        <v>10325</v>
      </c>
      <c r="AI624" s="6">
        <v>42</v>
      </c>
      <c r="AL624" s="4">
        <v>440</v>
      </c>
      <c r="AM624" s="4">
        <v>2421</v>
      </c>
      <c r="AN624" s="4">
        <v>314</v>
      </c>
      <c r="AV624" s="4">
        <v>48</v>
      </c>
      <c r="AW624" s="4">
        <v>48</v>
      </c>
    </row>
    <row r="625" spans="1:49" x14ac:dyDescent="0.2">
      <c r="A625" s="1">
        <v>44102</v>
      </c>
      <c r="B625">
        <f t="shared" si="87"/>
        <v>4.71</v>
      </c>
      <c r="C625" s="1" t="s">
        <v>57</v>
      </c>
      <c r="D625" s="1" t="s">
        <v>62</v>
      </c>
      <c r="E625" s="1" t="s">
        <v>67</v>
      </c>
      <c r="F625" s="1" t="s">
        <v>53</v>
      </c>
      <c r="G625">
        <v>2614</v>
      </c>
      <c r="H625" s="4">
        <v>47.45</v>
      </c>
      <c r="I625" s="4">
        <v>114</v>
      </c>
      <c r="J625" s="4">
        <v>54</v>
      </c>
      <c r="K625" s="4">
        <v>75.83</v>
      </c>
      <c r="L625" s="4">
        <v>130</v>
      </c>
      <c r="M625" s="4">
        <v>67</v>
      </c>
      <c r="N625" s="4">
        <v>87</v>
      </c>
      <c r="O625" s="4">
        <v>52</v>
      </c>
      <c r="P625" s="4">
        <v>34.5093336946899</v>
      </c>
      <c r="Q625" s="4">
        <v>60.449004193130001</v>
      </c>
      <c r="R625" s="4">
        <v>49</v>
      </c>
      <c r="S625" s="7" t="s">
        <v>35</v>
      </c>
      <c r="T625" s="4">
        <v>228942</v>
      </c>
      <c r="U625" s="4">
        <v>303784</v>
      </c>
      <c r="V625" s="4">
        <v>4885</v>
      </c>
      <c r="W625" s="4">
        <v>121100</v>
      </c>
      <c r="X625" s="4">
        <v>83090</v>
      </c>
      <c r="Y625" s="4">
        <v>204600</v>
      </c>
      <c r="Z625" s="4">
        <v>120000</v>
      </c>
      <c r="AA625" s="4">
        <v>17194</v>
      </c>
      <c r="AB625" s="4">
        <v>59864</v>
      </c>
      <c r="AC625" s="4">
        <v>140442</v>
      </c>
      <c r="AD625" s="4">
        <v>3786</v>
      </c>
      <c r="AE625" s="4">
        <v>29735</v>
      </c>
      <c r="AF625" s="4">
        <v>233827</v>
      </c>
      <c r="AG625" s="6">
        <v>9983</v>
      </c>
      <c r="AH625" s="6">
        <v>9963</v>
      </c>
      <c r="AI625" s="6">
        <v>20</v>
      </c>
      <c r="AL625" s="4">
        <v>444</v>
      </c>
      <c r="AM625" s="4">
        <v>2400</v>
      </c>
      <c r="AN625" s="4">
        <v>297</v>
      </c>
      <c r="AV625" s="4">
        <v>54</v>
      </c>
      <c r="AW625" s="4">
        <v>55</v>
      </c>
    </row>
    <row r="626" spans="1:49" x14ac:dyDescent="0.2">
      <c r="A626" s="1">
        <v>44101</v>
      </c>
      <c r="B626">
        <v>1.0900000000000001</v>
      </c>
      <c r="C626" s="1" t="s">
        <v>57</v>
      </c>
      <c r="D626" s="1" t="s">
        <v>62</v>
      </c>
      <c r="E626" s="1" t="s">
        <v>67</v>
      </c>
      <c r="F626" s="1" t="s">
        <v>53</v>
      </c>
      <c r="G626">
        <v>2627</v>
      </c>
      <c r="H626" s="4">
        <v>66.34</v>
      </c>
      <c r="I626" s="4">
        <v>106</v>
      </c>
      <c r="J626" s="4">
        <v>84</v>
      </c>
      <c r="K626" s="4">
        <v>73.97</v>
      </c>
      <c r="L626" s="4">
        <v>90</v>
      </c>
      <c r="M626" s="4">
        <v>60</v>
      </c>
      <c r="N626" s="4">
        <v>79</v>
      </c>
      <c r="O626" s="4">
        <v>55</v>
      </c>
      <c r="P626" s="4">
        <v>44.4627034126121</v>
      </c>
      <c r="Q626" s="4">
        <v>60.584560793406197</v>
      </c>
      <c r="R626" s="4">
        <v>52</v>
      </c>
      <c r="S626" s="7" t="s">
        <v>35</v>
      </c>
      <c r="T626" s="4">
        <v>263184</v>
      </c>
      <c r="U626" s="4">
        <v>290399</v>
      </c>
      <c r="V626" s="4">
        <v>3912</v>
      </c>
      <c r="W626" s="4">
        <v>121100</v>
      </c>
      <c r="X626" s="4">
        <v>80215</v>
      </c>
      <c r="Y626" s="4">
        <v>188600</v>
      </c>
      <c r="Z626" s="4">
        <v>120000</v>
      </c>
      <c r="AA626" s="4">
        <v>22684</v>
      </c>
      <c r="AB626" s="4">
        <v>56273</v>
      </c>
      <c r="AC626" s="4">
        <v>170285</v>
      </c>
      <c r="AD626" s="4">
        <v>1154</v>
      </c>
      <c r="AE626" s="4">
        <v>39384</v>
      </c>
      <c r="AF626" s="4">
        <v>267096</v>
      </c>
      <c r="AG626" s="6">
        <v>7023</v>
      </c>
      <c r="AH626" s="6">
        <v>7012</v>
      </c>
      <c r="AI626" s="6">
        <v>11</v>
      </c>
      <c r="AL626" s="4">
        <v>342</v>
      </c>
      <c r="AM626" s="4">
        <v>2189</v>
      </c>
      <c r="AN626" s="4">
        <v>276</v>
      </c>
      <c r="AV626" s="4">
        <v>49</v>
      </c>
      <c r="AW626" s="4">
        <v>56</v>
      </c>
    </row>
    <row r="627" spans="1:49" x14ac:dyDescent="0.2">
      <c r="A627" s="1">
        <v>44100</v>
      </c>
      <c r="B627">
        <f>B626</f>
        <v>1.0900000000000001</v>
      </c>
      <c r="C627" s="1" t="s">
        <v>57</v>
      </c>
      <c r="D627" s="1" t="s">
        <v>62</v>
      </c>
      <c r="E627" s="1" t="s">
        <v>67</v>
      </c>
      <c r="F627" s="1" t="s">
        <v>53</v>
      </c>
      <c r="G627">
        <v>2640</v>
      </c>
      <c r="H627" s="4">
        <v>65.94</v>
      </c>
      <c r="I627" s="4">
        <v>106</v>
      </c>
      <c r="J627" s="4">
        <v>84</v>
      </c>
      <c r="K627" s="4">
        <v>107.97</v>
      </c>
      <c r="L627" s="4">
        <v>82</v>
      </c>
      <c r="M627" s="4">
        <v>60</v>
      </c>
      <c r="N627" s="4">
        <v>83</v>
      </c>
      <c r="O627" s="4">
        <v>57</v>
      </c>
      <c r="P627" s="4">
        <v>42.831722307590901</v>
      </c>
      <c r="Q627" s="4">
        <v>59.654409161784798</v>
      </c>
      <c r="R627" s="4">
        <v>55</v>
      </c>
      <c r="S627" s="7" t="s">
        <v>35</v>
      </c>
      <c r="T627" s="4">
        <v>254973</v>
      </c>
      <c r="U627" s="4">
        <v>281076</v>
      </c>
      <c r="V627" s="4">
        <v>4809</v>
      </c>
      <c r="W627" s="4">
        <v>121100</v>
      </c>
      <c r="X627" s="4">
        <v>80497</v>
      </c>
      <c r="Y627" s="4">
        <v>189600</v>
      </c>
      <c r="Z627" s="4">
        <v>120000</v>
      </c>
      <c r="AA627" s="4">
        <v>12079</v>
      </c>
      <c r="AB627" s="4">
        <v>66093</v>
      </c>
      <c r="AC627" s="4">
        <v>167881</v>
      </c>
      <c r="AD627" s="4">
        <v>2708</v>
      </c>
      <c r="AE627" s="4">
        <v>23100</v>
      </c>
      <c r="AF627" s="4">
        <v>259782</v>
      </c>
      <c r="AG627" s="6">
        <v>6809</v>
      </c>
      <c r="AH627" s="6">
        <v>6801</v>
      </c>
      <c r="AI627" s="6">
        <v>8</v>
      </c>
      <c r="AL627" s="4">
        <v>351</v>
      </c>
      <c r="AM627" s="4">
        <v>2034</v>
      </c>
      <c r="AN627" s="4">
        <v>261</v>
      </c>
      <c r="AV627" s="4">
        <v>39</v>
      </c>
      <c r="AW627" s="4">
        <v>47</v>
      </c>
    </row>
    <row r="628" spans="1:49" x14ac:dyDescent="0.2">
      <c r="A628" s="1">
        <v>44099</v>
      </c>
      <c r="B628">
        <f t="shared" ref="B628:B632" si="88">B627</f>
        <v>1.0900000000000001</v>
      </c>
      <c r="C628" s="1" t="s">
        <v>57</v>
      </c>
      <c r="D628" s="1" t="s">
        <v>62</v>
      </c>
      <c r="E628" s="1" t="s">
        <v>67</v>
      </c>
      <c r="F628" s="1" t="s">
        <v>53</v>
      </c>
      <c r="G628">
        <v>2650</v>
      </c>
      <c r="H628" s="4">
        <v>53.15</v>
      </c>
      <c r="I628" s="4">
        <v>114</v>
      </c>
      <c r="J628" s="4">
        <v>55</v>
      </c>
      <c r="K628" s="4">
        <v>89.57</v>
      </c>
      <c r="L628" s="4">
        <v>90</v>
      </c>
      <c r="M628" s="4">
        <v>60</v>
      </c>
      <c r="N628" s="4">
        <v>87</v>
      </c>
      <c r="O628" s="4">
        <v>53</v>
      </c>
      <c r="P628" s="4">
        <v>36.393689079983297</v>
      </c>
      <c r="Q628" s="4">
        <v>60.0175690139301</v>
      </c>
      <c r="R628" s="4">
        <v>52</v>
      </c>
      <c r="S628" s="7" t="s">
        <v>35</v>
      </c>
      <c r="T628" s="4">
        <v>288006</v>
      </c>
      <c r="U628" s="4">
        <v>284587</v>
      </c>
      <c r="V628" s="4">
        <v>10017</v>
      </c>
      <c r="W628" s="4">
        <v>121100</v>
      </c>
      <c r="X628" s="4">
        <v>83321</v>
      </c>
      <c r="Y628" s="4">
        <v>187600</v>
      </c>
      <c r="Z628" s="4">
        <v>120000</v>
      </c>
      <c r="AA628" s="4">
        <v>14766</v>
      </c>
      <c r="AB628" s="4">
        <v>72385</v>
      </c>
      <c r="AC628" s="4">
        <v>185140</v>
      </c>
      <c r="AD628" s="4">
        <v>6276</v>
      </c>
      <c r="AE628" s="4">
        <v>34222</v>
      </c>
      <c r="AF628" s="4">
        <v>298023</v>
      </c>
      <c r="AG628" s="6">
        <v>7318</v>
      </c>
      <c r="AH628" s="6">
        <v>7299</v>
      </c>
      <c r="AI628" s="6">
        <v>19</v>
      </c>
      <c r="AL628" s="4">
        <v>382</v>
      </c>
      <c r="AM628" s="4">
        <v>2021</v>
      </c>
      <c r="AN628" s="4">
        <v>262</v>
      </c>
      <c r="AV628" s="4">
        <v>33</v>
      </c>
      <c r="AW628" s="4">
        <v>40</v>
      </c>
    </row>
    <row r="629" spans="1:49" x14ac:dyDescent="0.2">
      <c r="A629" s="1">
        <v>44098</v>
      </c>
      <c r="B629">
        <f t="shared" si="88"/>
        <v>1.0900000000000001</v>
      </c>
      <c r="C629" s="1" t="s">
        <v>57</v>
      </c>
      <c r="D629" s="1" t="s">
        <v>62</v>
      </c>
      <c r="E629" s="1" t="s">
        <v>67</v>
      </c>
      <c r="F629" s="1" t="s">
        <v>53</v>
      </c>
      <c r="G629">
        <v>2659</v>
      </c>
      <c r="H629" s="4">
        <v>45.61</v>
      </c>
      <c r="I629" s="4">
        <v>115</v>
      </c>
      <c r="J629" s="4">
        <v>53</v>
      </c>
      <c r="K629" s="4">
        <v>77.59</v>
      </c>
      <c r="L629" s="4">
        <v>99</v>
      </c>
      <c r="M629" s="4">
        <v>60</v>
      </c>
      <c r="N629" s="4">
        <v>85</v>
      </c>
      <c r="O629" s="4">
        <v>50</v>
      </c>
      <c r="P629" s="4">
        <v>34.7010441130451</v>
      </c>
      <c r="Q629" s="4">
        <v>59.196174615674003</v>
      </c>
      <c r="R629" s="4">
        <v>49</v>
      </c>
      <c r="S629" s="7" t="s">
        <v>35</v>
      </c>
      <c r="T629" s="4">
        <v>261776</v>
      </c>
      <c r="U629" s="4">
        <v>281655</v>
      </c>
      <c r="V629" s="4">
        <v>12659</v>
      </c>
      <c r="W629" s="4">
        <v>121100</v>
      </c>
      <c r="X629" s="4">
        <v>83265</v>
      </c>
      <c r="Y629" s="4">
        <v>187700</v>
      </c>
      <c r="Z629" s="4">
        <v>120000</v>
      </c>
      <c r="AA629" s="4">
        <v>11790</v>
      </c>
      <c r="AB629" s="4">
        <v>72910</v>
      </c>
      <c r="AC629" s="4">
        <v>172120</v>
      </c>
      <c r="AD629" s="4">
        <v>6261</v>
      </c>
      <c r="AE629" s="4">
        <v>23144</v>
      </c>
      <c r="AF629" s="4">
        <v>274435</v>
      </c>
      <c r="AG629" s="6">
        <v>7682</v>
      </c>
      <c r="AH629" s="6">
        <v>7658</v>
      </c>
      <c r="AI629" s="6">
        <v>24</v>
      </c>
      <c r="AL629" s="4">
        <v>423</v>
      </c>
      <c r="AM629" s="4">
        <v>1847</v>
      </c>
      <c r="AN629" s="4">
        <v>243</v>
      </c>
      <c r="AV629" s="4">
        <v>35</v>
      </c>
      <c r="AW629" s="4">
        <v>34</v>
      </c>
    </row>
    <row r="630" spans="1:49" x14ac:dyDescent="0.2">
      <c r="A630" s="1">
        <v>44097</v>
      </c>
      <c r="B630">
        <f t="shared" si="88"/>
        <v>1.0900000000000001</v>
      </c>
      <c r="C630" s="1" t="s">
        <v>57</v>
      </c>
      <c r="D630" s="1" t="s">
        <v>62</v>
      </c>
      <c r="E630" s="1" t="s">
        <v>67</v>
      </c>
      <c r="F630" s="1" t="s">
        <v>53</v>
      </c>
      <c r="G630">
        <v>2665</v>
      </c>
      <c r="H630" s="4">
        <v>53.29</v>
      </c>
      <c r="I630" s="4">
        <v>115</v>
      </c>
      <c r="J630" s="4">
        <v>54</v>
      </c>
      <c r="K630" s="4">
        <v>78.64</v>
      </c>
      <c r="L630" s="4">
        <v>93</v>
      </c>
      <c r="M630" s="4">
        <v>59</v>
      </c>
      <c r="N630" s="4">
        <v>82</v>
      </c>
      <c r="O630" s="4">
        <v>50</v>
      </c>
      <c r="P630" s="4">
        <v>34.472181542460604</v>
      </c>
      <c r="Q630" s="4">
        <v>58.9666426899242</v>
      </c>
      <c r="R630" s="4">
        <v>49</v>
      </c>
      <c r="S630" s="7" t="s">
        <v>35</v>
      </c>
      <c r="T630" s="4">
        <v>259069</v>
      </c>
      <c r="U630" s="4">
        <v>277234</v>
      </c>
      <c r="V630" s="4">
        <v>10207</v>
      </c>
      <c r="W630" s="4">
        <v>121100</v>
      </c>
      <c r="X630" s="4">
        <v>83271</v>
      </c>
      <c r="Y630" s="4">
        <v>180700</v>
      </c>
      <c r="Z630" s="4">
        <v>120000</v>
      </c>
      <c r="AA630" s="4">
        <v>14363</v>
      </c>
      <c r="AB630" s="4">
        <v>78345</v>
      </c>
      <c r="AC630" s="4">
        <v>153771</v>
      </c>
      <c r="AD630" s="4">
        <v>6063</v>
      </c>
      <c r="AE630" s="4">
        <v>31097</v>
      </c>
      <c r="AF630" s="4">
        <v>269276</v>
      </c>
      <c r="AG630" s="6">
        <v>7096</v>
      </c>
      <c r="AH630" s="6">
        <v>7072</v>
      </c>
      <c r="AI630" s="6">
        <v>24</v>
      </c>
      <c r="AL630" s="4">
        <v>422</v>
      </c>
      <c r="AM630" s="4">
        <v>1731</v>
      </c>
      <c r="AN630" s="4">
        <v>228</v>
      </c>
      <c r="AV630" s="4">
        <v>58</v>
      </c>
      <c r="AW630" s="4">
        <v>58</v>
      </c>
    </row>
    <row r="631" spans="1:49" x14ac:dyDescent="0.2">
      <c r="A631" s="1">
        <v>44096</v>
      </c>
      <c r="B631">
        <f t="shared" si="88"/>
        <v>1.0900000000000001</v>
      </c>
      <c r="C631" s="1" t="s">
        <v>57</v>
      </c>
      <c r="D631" s="1" t="s">
        <v>62</v>
      </c>
      <c r="E631" s="1" t="s">
        <v>67</v>
      </c>
      <c r="F631" s="1" t="s">
        <v>53</v>
      </c>
      <c r="G631">
        <v>2666</v>
      </c>
      <c r="H631" s="4">
        <v>55.16</v>
      </c>
      <c r="I631" s="4">
        <v>113</v>
      </c>
      <c r="J631" s="4">
        <v>52</v>
      </c>
      <c r="K631" s="4">
        <v>85.61</v>
      </c>
      <c r="L631" s="4">
        <v>137</v>
      </c>
      <c r="M631" s="4">
        <v>64</v>
      </c>
      <c r="N631" s="4">
        <v>86</v>
      </c>
      <c r="O631" s="4">
        <v>53</v>
      </c>
      <c r="P631" s="4">
        <v>35.513016976686998</v>
      </c>
      <c r="Q631" s="4">
        <v>60.5529532374902</v>
      </c>
      <c r="R631" s="4">
        <v>51</v>
      </c>
      <c r="S631" s="7" t="s">
        <v>35</v>
      </c>
      <c r="T631" s="4">
        <v>235539</v>
      </c>
      <c r="U631" s="4">
        <v>267122</v>
      </c>
      <c r="V631" s="4">
        <v>11544</v>
      </c>
      <c r="W631" s="4">
        <v>121100</v>
      </c>
      <c r="X631" s="4">
        <v>83177</v>
      </c>
      <c r="Y631" s="4">
        <v>175700</v>
      </c>
      <c r="Z631" s="4">
        <v>120000</v>
      </c>
      <c r="AA631" s="4">
        <v>9345</v>
      </c>
      <c r="AB631" s="4">
        <v>72683</v>
      </c>
      <c r="AC631" s="4">
        <v>146401</v>
      </c>
      <c r="AD631" s="4">
        <v>5770</v>
      </c>
      <c r="AE631" s="4">
        <v>22229</v>
      </c>
      <c r="AF631" s="4">
        <v>247083</v>
      </c>
      <c r="AG631" s="6">
        <v>6441</v>
      </c>
      <c r="AH631" s="6">
        <v>6418</v>
      </c>
      <c r="AI631" s="6">
        <v>23</v>
      </c>
      <c r="AL631" s="4">
        <v>350</v>
      </c>
      <c r="AM631" s="4">
        <v>1637</v>
      </c>
      <c r="AN631" s="4">
        <v>211</v>
      </c>
      <c r="AV631" s="4">
        <v>40</v>
      </c>
      <c r="AW631" s="4">
        <v>39</v>
      </c>
    </row>
    <row r="632" spans="1:49" x14ac:dyDescent="0.2">
      <c r="A632" s="1">
        <v>44095</v>
      </c>
      <c r="B632">
        <f t="shared" si="88"/>
        <v>1.0900000000000001</v>
      </c>
      <c r="C632" s="1" t="s">
        <v>57</v>
      </c>
      <c r="D632" s="1" t="s">
        <v>62</v>
      </c>
      <c r="E632" s="1" t="s">
        <v>68</v>
      </c>
      <c r="F632" s="1" t="s">
        <v>53</v>
      </c>
      <c r="G632">
        <v>2674</v>
      </c>
      <c r="H632" s="4">
        <v>50.48</v>
      </c>
      <c r="I632" s="4">
        <v>113</v>
      </c>
      <c r="J632" s="4">
        <v>52</v>
      </c>
      <c r="K632" s="4">
        <v>82.68</v>
      </c>
      <c r="L632" s="4">
        <v>151</v>
      </c>
      <c r="M632" s="4">
        <v>68</v>
      </c>
      <c r="N632" s="4">
        <v>88</v>
      </c>
      <c r="O632" s="4">
        <v>53</v>
      </c>
      <c r="P632" s="4">
        <v>34.944978812764198</v>
      </c>
      <c r="Q632" s="4">
        <v>60.4575503572839</v>
      </c>
      <c r="R632" s="4">
        <v>52</v>
      </c>
      <c r="S632" s="7" t="s">
        <v>35</v>
      </c>
      <c r="T632" s="4">
        <v>208400</v>
      </c>
      <c r="U632" s="4">
        <v>270121</v>
      </c>
      <c r="V632" s="4">
        <v>11277</v>
      </c>
      <c r="W632" s="4">
        <v>121100</v>
      </c>
      <c r="X632" s="4">
        <v>82989</v>
      </c>
      <c r="Y632" s="4">
        <v>180700</v>
      </c>
      <c r="Z632" s="4">
        <v>120000</v>
      </c>
      <c r="AA632" s="4">
        <v>7532</v>
      </c>
      <c r="AB632" s="4">
        <v>59971</v>
      </c>
      <c r="AC632" s="4">
        <v>130512</v>
      </c>
      <c r="AD632" s="4">
        <v>4106</v>
      </c>
      <c r="AE632" s="4">
        <v>25088</v>
      </c>
      <c r="AF632" s="4">
        <v>219677</v>
      </c>
      <c r="AG632" s="6">
        <v>5627</v>
      </c>
      <c r="AH632" s="6">
        <v>5611</v>
      </c>
      <c r="AI632" s="6">
        <v>16</v>
      </c>
      <c r="AL632" s="4">
        <v>371</v>
      </c>
      <c r="AM632" s="4">
        <v>1559</v>
      </c>
      <c r="AN632" s="4">
        <v>181</v>
      </c>
      <c r="AV632" s="4">
        <v>27</v>
      </c>
      <c r="AW632" s="4">
        <v>30</v>
      </c>
    </row>
    <row r="633" spans="1:49" x14ac:dyDescent="0.2">
      <c r="A633" s="1">
        <v>44094</v>
      </c>
      <c r="B633">
        <v>1.75</v>
      </c>
      <c r="C633" s="1" t="s">
        <v>57</v>
      </c>
      <c r="D633" s="1" t="s">
        <v>62</v>
      </c>
      <c r="E633" s="1" t="s">
        <v>68</v>
      </c>
      <c r="F633" s="1" t="s">
        <v>53</v>
      </c>
      <c r="G633">
        <v>2681</v>
      </c>
      <c r="H633" s="4">
        <v>69.84</v>
      </c>
      <c r="I633" s="4">
        <v>103</v>
      </c>
      <c r="J633" s="4">
        <v>86</v>
      </c>
      <c r="K633" s="4">
        <v>88.82</v>
      </c>
      <c r="L633" s="4">
        <v>152</v>
      </c>
      <c r="M633" s="4">
        <v>65</v>
      </c>
      <c r="N633" s="4">
        <v>82</v>
      </c>
      <c r="O633" s="4">
        <v>60</v>
      </c>
      <c r="P633" s="4">
        <v>44.985190809409502</v>
      </c>
      <c r="Q633" s="4">
        <v>65.394137600637606</v>
      </c>
      <c r="R633" s="4">
        <v>57</v>
      </c>
      <c r="S633" s="7" t="s">
        <v>35</v>
      </c>
      <c r="T633" s="4">
        <v>234731</v>
      </c>
      <c r="U633" s="4">
        <v>257377</v>
      </c>
      <c r="V633" s="4">
        <v>12313</v>
      </c>
      <c r="W633" s="4">
        <v>121100</v>
      </c>
      <c r="X633" s="4">
        <v>80177</v>
      </c>
      <c r="Y633" s="4">
        <v>177200</v>
      </c>
      <c r="Z633" s="4">
        <v>120000</v>
      </c>
      <c r="AA633" s="4">
        <v>1100</v>
      </c>
      <c r="AB633" s="4">
        <v>55398</v>
      </c>
      <c r="AC633" s="4">
        <v>164325</v>
      </c>
      <c r="AD633" s="4">
        <v>994</v>
      </c>
      <c r="AE633" s="4">
        <v>26382</v>
      </c>
      <c r="AF633" s="4">
        <v>247099</v>
      </c>
      <c r="AG633" s="6">
        <v>5340</v>
      </c>
      <c r="AH633" s="6">
        <v>5333</v>
      </c>
      <c r="AI633" s="6">
        <v>7</v>
      </c>
      <c r="AL633" s="4">
        <v>288</v>
      </c>
      <c r="AM633" s="4">
        <v>1399</v>
      </c>
      <c r="AN633" s="4">
        <v>165</v>
      </c>
      <c r="AV633" s="4">
        <v>32</v>
      </c>
      <c r="AW633" s="4">
        <v>40</v>
      </c>
    </row>
    <row r="634" spans="1:49" x14ac:dyDescent="0.2">
      <c r="A634" s="1">
        <v>44093</v>
      </c>
      <c r="B634">
        <f>B633</f>
        <v>1.75</v>
      </c>
      <c r="C634" s="1" t="s">
        <v>57</v>
      </c>
      <c r="D634" s="1" t="s">
        <v>62</v>
      </c>
      <c r="E634" s="1" t="s">
        <v>68</v>
      </c>
      <c r="F634" s="1" t="s">
        <v>53</v>
      </c>
      <c r="G634">
        <v>2675</v>
      </c>
      <c r="H634" s="4">
        <v>70.22</v>
      </c>
      <c r="I634" s="4">
        <v>105</v>
      </c>
      <c r="J634" s="4">
        <v>84</v>
      </c>
      <c r="K634" s="4">
        <v>121.23</v>
      </c>
      <c r="L634" s="4">
        <v>121</v>
      </c>
      <c r="M634" s="4">
        <v>62</v>
      </c>
      <c r="N634" s="4">
        <v>82</v>
      </c>
      <c r="O634" s="4">
        <v>59</v>
      </c>
      <c r="P634" s="4">
        <v>41.397998894241098</v>
      </c>
      <c r="Q634" s="4">
        <v>61.313993657953802</v>
      </c>
      <c r="R634" s="4">
        <v>58</v>
      </c>
      <c r="S634" s="7" t="s">
        <v>35</v>
      </c>
      <c r="T634" s="4">
        <v>249320</v>
      </c>
      <c r="U634" s="4">
        <v>255570</v>
      </c>
      <c r="V634" s="4">
        <v>14743</v>
      </c>
      <c r="W634" s="4">
        <v>121100</v>
      </c>
      <c r="X634" s="4">
        <v>80270</v>
      </c>
      <c r="Y634" s="4">
        <v>175300</v>
      </c>
      <c r="Z634" s="4">
        <v>120000</v>
      </c>
      <c r="AA634" s="4">
        <v>1100</v>
      </c>
      <c r="AB634" s="4">
        <v>68993</v>
      </c>
      <c r="AC634" s="4">
        <v>170892</v>
      </c>
      <c r="AD634" s="4">
        <v>2538</v>
      </c>
      <c r="AE634" s="4">
        <v>23274</v>
      </c>
      <c r="AF634" s="4">
        <v>265697</v>
      </c>
      <c r="AG634" s="6">
        <v>4889</v>
      </c>
      <c r="AH634" s="6">
        <v>4884</v>
      </c>
      <c r="AI634" s="6">
        <v>5</v>
      </c>
      <c r="AL634" s="4">
        <v>261</v>
      </c>
      <c r="AM634" s="4">
        <v>1301</v>
      </c>
      <c r="AN634" s="4">
        <v>144</v>
      </c>
      <c r="AV634" s="4">
        <v>20</v>
      </c>
      <c r="AW634" s="4">
        <v>25</v>
      </c>
    </row>
    <row r="635" spans="1:49" x14ac:dyDescent="0.2">
      <c r="A635" s="1">
        <v>44092</v>
      </c>
      <c r="B635">
        <f t="shared" ref="B635:B639" si="89">B634</f>
        <v>1.75</v>
      </c>
      <c r="C635" s="1" t="s">
        <v>57</v>
      </c>
      <c r="D635" s="1" t="s">
        <v>62</v>
      </c>
      <c r="E635" s="1" t="s">
        <v>68</v>
      </c>
      <c r="F635" s="1" t="s">
        <v>53</v>
      </c>
      <c r="G635">
        <v>2679</v>
      </c>
      <c r="H635" s="4">
        <v>58.97</v>
      </c>
      <c r="I635" s="4">
        <v>112</v>
      </c>
      <c r="J635" s="4">
        <v>55</v>
      </c>
      <c r="K635" s="4">
        <v>100.11</v>
      </c>
      <c r="L635" s="4">
        <v>129</v>
      </c>
      <c r="M635" s="4">
        <v>63</v>
      </c>
      <c r="N635" s="4">
        <v>86</v>
      </c>
      <c r="O635" s="4">
        <v>55</v>
      </c>
      <c r="P635" s="4">
        <v>36.352420548635301</v>
      </c>
      <c r="Q635" s="4">
        <v>61.327980159842198</v>
      </c>
      <c r="R635" s="4">
        <v>53</v>
      </c>
      <c r="S635" s="7" t="s">
        <v>35</v>
      </c>
      <c r="T635" s="4">
        <v>264248</v>
      </c>
      <c r="U635" s="4">
        <v>255949</v>
      </c>
      <c r="V635" s="4">
        <v>23603</v>
      </c>
      <c r="W635" s="4">
        <v>121100</v>
      </c>
      <c r="X635" s="4">
        <v>82899</v>
      </c>
      <c r="Y635" s="4">
        <v>173050</v>
      </c>
      <c r="Z635" s="4">
        <v>120000</v>
      </c>
      <c r="AA635" s="4">
        <v>1100</v>
      </c>
      <c r="AB635" s="4">
        <v>79167</v>
      </c>
      <c r="AC635" s="4">
        <v>173342</v>
      </c>
      <c r="AD635" s="4">
        <v>7808</v>
      </c>
      <c r="AE635" s="4">
        <v>29594</v>
      </c>
      <c r="AF635" s="4">
        <v>289911</v>
      </c>
      <c r="AG635" s="6">
        <v>4973</v>
      </c>
      <c r="AH635" s="6">
        <v>4946</v>
      </c>
      <c r="AI635" s="6">
        <v>27</v>
      </c>
      <c r="AL635" s="4">
        <v>262</v>
      </c>
      <c r="AM635" s="4">
        <v>1222</v>
      </c>
      <c r="AN635" s="4">
        <v>138</v>
      </c>
      <c r="AV635" s="4">
        <v>24</v>
      </c>
      <c r="AW635" s="4">
        <v>30</v>
      </c>
    </row>
    <row r="636" spans="1:49" x14ac:dyDescent="0.2">
      <c r="A636" s="1">
        <v>44091</v>
      </c>
      <c r="B636">
        <f t="shared" si="89"/>
        <v>1.75</v>
      </c>
      <c r="C636" s="1" t="s">
        <v>57</v>
      </c>
      <c r="D636" s="1" t="s">
        <v>62</v>
      </c>
      <c r="E636" s="1" t="s">
        <v>68</v>
      </c>
      <c r="F636" s="1" t="s">
        <v>53</v>
      </c>
      <c r="G636">
        <v>2680</v>
      </c>
      <c r="H636" s="4">
        <v>50.04</v>
      </c>
      <c r="I636" s="4">
        <v>113</v>
      </c>
      <c r="J636" s="4">
        <v>53</v>
      </c>
      <c r="K636" s="4">
        <v>90.62</v>
      </c>
      <c r="L636" s="4">
        <v>141</v>
      </c>
      <c r="M636" s="4">
        <v>64</v>
      </c>
      <c r="N636" s="4">
        <v>85</v>
      </c>
      <c r="O636" s="4">
        <v>52</v>
      </c>
      <c r="P636" s="4">
        <v>35.4677937253932</v>
      </c>
      <c r="Q636" s="4">
        <v>60.374609382175102</v>
      </c>
      <c r="R636" s="4">
        <v>52</v>
      </c>
      <c r="S636" s="7" t="s">
        <v>35</v>
      </c>
      <c r="T636" s="4">
        <v>239402</v>
      </c>
      <c r="U636" s="4">
        <v>253521</v>
      </c>
      <c r="V636" s="4">
        <v>27092</v>
      </c>
      <c r="W636" s="4">
        <v>121100</v>
      </c>
      <c r="X636" s="4">
        <v>82871</v>
      </c>
      <c r="Y636" s="4">
        <v>170650</v>
      </c>
      <c r="Z636" s="4">
        <v>120000</v>
      </c>
      <c r="AA636" s="4">
        <v>1100</v>
      </c>
      <c r="AB636" s="4">
        <v>75947</v>
      </c>
      <c r="AC636" s="4">
        <v>157252</v>
      </c>
      <c r="AD636" s="4">
        <v>6647</v>
      </c>
      <c r="AE636" s="4">
        <v>27448</v>
      </c>
      <c r="AF636" s="4">
        <v>267294</v>
      </c>
      <c r="AG636" s="6">
        <v>4675</v>
      </c>
      <c r="AH636" s="6">
        <v>4653</v>
      </c>
      <c r="AI636" s="6">
        <v>22</v>
      </c>
      <c r="AL636" s="4">
        <v>264</v>
      </c>
      <c r="AM636" s="4">
        <v>1163</v>
      </c>
      <c r="AN636" s="4">
        <v>127</v>
      </c>
      <c r="AV636" s="4">
        <v>28</v>
      </c>
      <c r="AW636" s="4">
        <v>38</v>
      </c>
    </row>
    <row r="637" spans="1:49" x14ac:dyDescent="0.2">
      <c r="A637" s="1">
        <v>44090</v>
      </c>
      <c r="B637">
        <f t="shared" si="89"/>
        <v>1.75</v>
      </c>
      <c r="C637" s="1" t="s">
        <v>57</v>
      </c>
      <c r="D637" s="1" t="s">
        <v>62</v>
      </c>
      <c r="E637" s="1" t="s">
        <v>68</v>
      </c>
      <c r="F637" s="1" t="s">
        <v>53</v>
      </c>
      <c r="G637">
        <v>2681</v>
      </c>
      <c r="H637" s="4">
        <v>55.78</v>
      </c>
      <c r="I637" s="4">
        <v>114</v>
      </c>
      <c r="J637" s="4">
        <v>53</v>
      </c>
      <c r="K637" s="4">
        <v>89.11</v>
      </c>
      <c r="L637" s="4">
        <v>140</v>
      </c>
      <c r="M637" s="4">
        <v>63</v>
      </c>
      <c r="N637" s="4">
        <v>84</v>
      </c>
      <c r="O637" s="4">
        <v>52</v>
      </c>
      <c r="P637" s="4">
        <v>35.448227301196503</v>
      </c>
      <c r="Q637" s="4">
        <v>60.030628222749698</v>
      </c>
      <c r="R637" s="4">
        <v>52</v>
      </c>
      <c r="S637" s="7" t="s">
        <v>35</v>
      </c>
      <c r="T637" s="4">
        <v>241776</v>
      </c>
      <c r="U637" s="4">
        <v>252911</v>
      </c>
      <c r="V637" s="4">
        <v>43023</v>
      </c>
      <c r="W637" s="4">
        <v>121100</v>
      </c>
      <c r="X637" s="4">
        <v>82911</v>
      </c>
      <c r="Y637" s="4">
        <v>170000</v>
      </c>
      <c r="Z637" s="4">
        <v>120000</v>
      </c>
      <c r="AA637" s="4">
        <v>1100</v>
      </c>
      <c r="AB637" s="4">
        <v>79465</v>
      </c>
      <c r="AC637" s="4">
        <v>156754</v>
      </c>
      <c r="AD637" s="4">
        <v>6339</v>
      </c>
      <c r="AE637" s="4">
        <v>42738</v>
      </c>
      <c r="AF637" s="4">
        <v>285296</v>
      </c>
      <c r="AG637" s="6">
        <v>4399</v>
      </c>
      <c r="AH637" s="6">
        <v>4371</v>
      </c>
      <c r="AI637" s="6">
        <v>28</v>
      </c>
      <c r="AL637" s="4">
        <v>281</v>
      </c>
      <c r="AM637" s="4">
        <v>1107</v>
      </c>
      <c r="AN637" s="4">
        <v>124</v>
      </c>
      <c r="AV637" s="4">
        <v>27</v>
      </c>
      <c r="AW637" s="4">
        <v>31</v>
      </c>
    </row>
    <row r="638" spans="1:49" x14ac:dyDescent="0.2">
      <c r="A638" s="1">
        <v>44089</v>
      </c>
      <c r="B638">
        <f t="shared" si="89"/>
        <v>1.75</v>
      </c>
      <c r="C638" s="1" t="s">
        <v>57</v>
      </c>
      <c r="D638" s="1" t="s">
        <v>62</v>
      </c>
      <c r="E638" s="1" t="s">
        <v>68</v>
      </c>
      <c r="F638" s="1" t="s">
        <v>53</v>
      </c>
      <c r="G638">
        <v>2688</v>
      </c>
      <c r="H638" s="4">
        <v>53.39</v>
      </c>
      <c r="I638" s="4">
        <v>113</v>
      </c>
      <c r="J638" s="4">
        <v>52</v>
      </c>
      <c r="K638" s="4">
        <v>88.28</v>
      </c>
      <c r="L638" s="4">
        <v>149</v>
      </c>
      <c r="M638" s="4">
        <v>65</v>
      </c>
      <c r="N638" s="4">
        <v>86</v>
      </c>
      <c r="O638" s="4">
        <v>53</v>
      </c>
      <c r="P638" s="4">
        <v>34.799778074722397</v>
      </c>
      <c r="Q638" s="4">
        <v>60.064248107120299</v>
      </c>
      <c r="R638" s="4">
        <v>52</v>
      </c>
      <c r="S638" s="7" t="s">
        <v>35</v>
      </c>
      <c r="T638" s="4">
        <v>237656</v>
      </c>
      <c r="U638" s="4">
        <v>242911</v>
      </c>
      <c r="V638" s="4">
        <v>51995</v>
      </c>
      <c r="W638" s="4">
        <v>121100</v>
      </c>
      <c r="X638" s="4">
        <v>82911</v>
      </c>
      <c r="Y638" s="4">
        <v>160000</v>
      </c>
      <c r="Z638" s="4">
        <v>120000</v>
      </c>
      <c r="AA638" s="4">
        <v>1100</v>
      </c>
      <c r="AB638" s="4">
        <v>72641</v>
      </c>
      <c r="AC638" s="4">
        <v>150505</v>
      </c>
      <c r="AD638" s="4">
        <v>6370</v>
      </c>
      <c r="AE638" s="4">
        <v>59306</v>
      </c>
      <c r="AF638" s="4">
        <v>288822</v>
      </c>
      <c r="AG638" s="6">
        <v>3551</v>
      </c>
      <c r="AH638" s="6">
        <v>3521</v>
      </c>
      <c r="AI638" s="6">
        <v>30</v>
      </c>
      <c r="AL638" s="4">
        <v>268</v>
      </c>
      <c r="AM638" s="4">
        <v>1067</v>
      </c>
      <c r="AN638" s="4">
        <v>115</v>
      </c>
      <c r="AV638" s="4">
        <v>18</v>
      </c>
      <c r="AW638" s="4">
        <v>26</v>
      </c>
    </row>
    <row r="639" spans="1:49" x14ac:dyDescent="0.2">
      <c r="A639" s="1">
        <v>44088</v>
      </c>
      <c r="B639">
        <f t="shared" si="89"/>
        <v>1.75</v>
      </c>
      <c r="C639" s="1" t="s">
        <v>57</v>
      </c>
      <c r="D639" s="1" t="s">
        <v>62</v>
      </c>
      <c r="E639" s="1" t="s">
        <v>68</v>
      </c>
      <c r="F639" s="1" t="s">
        <v>53</v>
      </c>
      <c r="G639">
        <v>2701</v>
      </c>
      <c r="H639" s="4">
        <v>51.68</v>
      </c>
      <c r="I639" s="4">
        <v>112</v>
      </c>
      <c r="J639" s="4">
        <v>53</v>
      </c>
      <c r="K639" s="4">
        <v>85.79</v>
      </c>
      <c r="L639" s="4">
        <v>168</v>
      </c>
      <c r="M639" s="4">
        <v>68</v>
      </c>
      <c r="N639" s="4">
        <v>87</v>
      </c>
      <c r="O639" s="4">
        <v>53</v>
      </c>
      <c r="P639" s="4">
        <v>34.781399035432102</v>
      </c>
      <c r="Q639" s="4">
        <v>60.5690878933869</v>
      </c>
      <c r="R639" s="4">
        <v>52</v>
      </c>
      <c r="S639" s="7" t="s">
        <v>35</v>
      </c>
      <c r="T639" s="4">
        <v>218704</v>
      </c>
      <c r="U639" s="4">
        <v>242817</v>
      </c>
      <c r="V639" s="4">
        <v>4666</v>
      </c>
      <c r="W639" s="4">
        <v>131100</v>
      </c>
      <c r="X639" s="4">
        <v>82817</v>
      </c>
      <c r="Y639" s="4">
        <v>160000</v>
      </c>
      <c r="Z639" s="4">
        <v>120000</v>
      </c>
      <c r="AA639" s="4">
        <v>11100</v>
      </c>
      <c r="AB639" s="4">
        <v>55037</v>
      </c>
      <c r="AC639" s="4">
        <v>152681</v>
      </c>
      <c r="AD639" s="4">
        <v>4666</v>
      </c>
      <c r="AE639" s="4">
        <v>8808</v>
      </c>
      <c r="AF639" s="4">
        <v>221192</v>
      </c>
      <c r="AG639" s="6">
        <v>3428</v>
      </c>
      <c r="AH639" s="6">
        <v>3399</v>
      </c>
      <c r="AI639" s="6">
        <v>29</v>
      </c>
      <c r="AL639" s="4">
        <v>257</v>
      </c>
      <c r="AM639" s="4">
        <v>983</v>
      </c>
      <c r="AN639" s="4">
        <v>105</v>
      </c>
      <c r="AV639" s="4">
        <v>21</v>
      </c>
      <c r="AW639" s="4">
        <v>21</v>
      </c>
    </row>
    <row r="640" spans="1:49" x14ac:dyDescent="0.2">
      <c r="A640" s="1">
        <v>44087</v>
      </c>
      <c r="B640">
        <v>4.7</v>
      </c>
      <c r="C640" s="1" t="s">
        <v>57</v>
      </c>
      <c r="D640" s="1" t="s">
        <v>62</v>
      </c>
      <c r="E640" s="1" t="s">
        <v>65</v>
      </c>
      <c r="F640" s="1" t="s">
        <v>53</v>
      </c>
      <c r="G640">
        <v>2693</v>
      </c>
      <c r="H640" s="4">
        <v>67.13</v>
      </c>
      <c r="I640" s="4">
        <v>102</v>
      </c>
      <c r="J640" s="4">
        <v>87</v>
      </c>
      <c r="K640" s="4">
        <v>86.81</v>
      </c>
      <c r="L640" s="4">
        <v>162</v>
      </c>
      <c r="M640" s="4">
        <v>66</v>
      </c>
      <c r="N640" s="4">
        <v>83</v>
      </c>
      <c r="O640" s="4">
        <v>62</v>
      </c>
      <c r="P640" s="4">
        <v>45.902170418556302</v>
      </c>
      <c r="Q640" s="4">
        <v>66.955324645874796</v>
      </c>
      <c r="R640" s="4">
        <v>58</v>
      </c>
      <c r="S640" s="7" t="s">
        <v>35</v>
      </c>
      <c r="T640" s="4">
        <v>225008</v>
      </c>
      <c r="U640" s="4">
        <v>231921</v>
      </c>
      <c r="V640" s="4">
        <v>1695</v>
      </c>
      <c r="W640" s="4">
        <v>121100</v>
      </c>
      <c r="X640" s="4">
        <v>79921</v>
      </c>
      <c r="Y640" s="4">
        <v>152000</v>
      </c>
      <c r="Z640" s="4">
        <v>120000</v>
      </c>
      <c r="AA640" s="4">
        <v>1100</v>
      </c>
      <c r="AB640" s="4">
        <v>50178</v>
      </c>
      <c r="AC640" s="4">
        <v>162995</v>
      </c>
      <c r="AD640" s="4">
        <v>1172</v>
      </c>
      <c r="AE640" s="4">
        <v>12730</v>
      </c>
      <c r="AF640" s="4">
        <v>227075</v>
      </c>
      <c r="AG640" s="6">
        <v>2154</v>
      </c>
      <c r="AH640" s="6">
        <v>2147</v>
      </c>
      <c r="AI640" s="6">
        <v>7</v>
      </c>
      <c r="AL640" s="4">
        <v>227</v>
      </c>
      <c r="AM640" s="4">
        <v>844</v>
      </c>
      <c r="AN640" s="4">
        <v>92</v>
      </c>
      <c r="AV640" s="4">
        <v>17</v>
      </c>
      <c r="AW640" s="4">
        <v>20</v>
      </c>
    </row>
    <row r="641" spans="1:49" x14ac:dyDescent="0.2">
      <c r="A641" s="1">
        <v>44086</v>
      </c>
      <c r="B641">
        <f>B640</f>
        <v>4.7</v>
      </c>
      <c r="C641" s="1" t="s">
        <v>57</v>
      </c>
      <c r="D641" s="1" t="s">
        <v>62</v>
      </c>
      <c r="E641" s="1" t="s">
        <v>65</v>
      </c>
      <c r="F641" s="1" t="s">
        <v>53</v>
      </c>
      <c r="G641">
        <v>2703</v>
      </c>
      <c r="H641" s="4">
        <v>70.180000000000007</v>
      </c>
      <c r="I641" s="4">
        <v>104</v>
      </c>
      <c r="J641" s="4">
        <v>84</v>
      </c>
      <c r="K641" s="4">
        <v>116</v>
      </c>
      <c r="L641" s="4">
        <v>119</v>
      </c>
      <c r="M641" s="4">
        <v>62</v>
      </c>
      <c r="N641" s="4">
        <v>83</v>
      </c>
      <c r="O641" s="4">
        <v>60</v>
      </c>
      <c r="P641" s="4">
        <v>40.605082968434303</v>
      </c>
      <c r="Q641" s="4">
        <v>60.9198492822837</v>
      </c>
      <c r="R641" s="4">
        <v>57</v>
      </c>
      <c r="S641" s="7" t="s">
        <v>35</v>
      </c>
      <c r="T641" s="4">
        <v>227767</v>
      </c>
      <c r="U641" s="4">
        <v>232015</v>
      </c>
      <c r="V641" s="4">
        <v>3221</v>
      </c>
      <c r="W641" s="4">
        <v>121100</v>
      </c>
      <c r="X641" s="4">
        <v>80015</v>
      </c>
      <c r="Y641" s="4">
        <v>152000</v>
      </c>
      <c r="Z641" s="4">
        <v>120000</v>
      </c>
      <c r="AA641" s="4">
        <v>1100</v>
      </c>
      <c r="AB641" s="4">
        <v>62516</v>
      </c>
      <c r="AC641" s="4">
        <v>158650</v>
      </c>
      <c r="AD641" s="4">
        <v>3043</v>
      </c>
      <c r="AE641" s="4">
        <v>7760</v>
      </c>
      <c r="AF641" s="4">
        <v>231969</v>
      </c>
      <c r="AG641" s="6">
        <v>2670</v>
      </c>
      <c r="AH641" s="6">
        <v>2659</v>
      </c>
      <c r="AI641" s="6">
        <v>11</v>
      </c>
      <c r="AL641" s="4">
        <v>217</v>
      </c>
      <c r="AM641" s="4">
        <v>813</v>
      </c>
      <c r="AN641" s="4">
        <v>86</v>
      </c>
      <c r="AV641" s="4">
        <v>18</v>
      </c>
      <c r="AW641" s="4">
        <v>23</v>
      </c>
    </row>
    <row r="642" spans="1:49" x14ac:dyDescent="0.2">
      <c r="A642" s="1">
        <v>44085</v>
      </c>
      <c r="B642">
        <f t="shared" ref="B642:B646" si="90">B641</f>
        <v>4.7</v>
      </c>
      <c r="C642" s="1" t="s">
        <v>57</v>
      </c>
      <c r="D642" s="1" t="s">
        <v>62</v>
      </c>
      <c r="E642" s="1" t="s">
        <v>65</v>
      </c>
      <c r="F642" s="1" t="s">
        <v>53</v>
      </c>
      <c r="G642">
        <v>2713</v>
      </c>
      <c r="H642" s="4">
        <v>58.15</v>
      </c>
      <c r="I642" s="4">
        <v>112</v>
      </c>
      <c r="J642" s="4">
        <v>51</v>
      </c>
      <c r="K642" s="4">
        <v>95.21</v>
      </c>
      <c r="L642" s="4">
        <v>127</v>
      </c>
      <c r="M642" s="4">
        <v>64</v>
      </c>
      <c r="N642" s="4">
        <v>86</v>
      </c>
      <c r="O642" s="4">
        <v>55</v>
      </c>
      <c r="P642" s="4">
        <v>35.383701124231798</v>
      </c>
      <c r="Q642" s="4">
        <v>60.670719543677698</v>
      </c>
      <c r="R642" s="4">
        <v>52</v>
      </c>
      <c r="S642" s="7" t="s">
        <v>35</v>
      </c>
      <c r="T642" s="4">
        <v>241191</v>
      </c>
      <c r="U642" s="4">
        <v>234957</v>
      </c>
      <c r="V642" s="4">
        <v>9189</v>
      </c>
      <c r="W642" s="4">
        <v>121100</v>
      </c>
      <c r="X642" s="4">
        <v>82857</v>
      </c>
      <c r="Y642" s="4">
        <v>152000</v>
      </c>
      <c r="Z642" s="4">
        <v>120000</v>
      </c>
      <c r="AA642" s="4">
        <v>1200</v>
      </c>
      <c r="AB642" s="4">
        <v>65672</v>
      </c>
      <c r="AC642" s="4">
        <v>172968</v>
      </c>
      <c r="AD642" s="4">
        <v>7895</v>
      </c>
      <c r="AE642" s="4">
        <v>4304</v>
      </c>
      <c r="AF642" s="4">
        <v>250839</v>
      </c>
      <c r="AG642" s="6">
        <v>3324</v>
      </c>
      <c r="AH642" s="6">
        <v>3294</v>
      </c>
      <c r="AI642" s="6">
        <v>30</v>
      </c>
      <c r="AL642" s="4">
        <v>230</v>
      </c>
      <c r="AM642" s="4">
        <v>771</v>
      </c>
      <c r="AN642" s="4">
        <v>143</v>
      </c>
      <c r="AV642" s="4">
        <v>13</v>
      </c>
      <c r="AW642" s="4">
        <v>20</v>
      </c>
    </row>
    <row r="643" spans="1:49" x14ac:dyDescent="0.2">
      <c r="A643" s="1">
        <v>44084</v>
      </c>
      <c r="B643">
        <f t="shared" si="90"/>
        <v>4.7</v>
      </c>
      <c r="C643" s="1" t="s">
        <v>57</v>
      </c>
      <c r="D643" s="1" t="s">
        <v>62</v>
      </c>
      <c r="E643" s="1" t="s">
        <v>65</v>
      </c>
      <c r="F643" s="1" t="s">
        <v>53</v>
      </c>
      <c r="G643">
        <v>2750</v>
      </c>
      <c r="H643" s="4">
        <v>50.2</v>
      </c>
      <c r="I643" s="4">
        <v>114</v>
      </c>
      <c r="J643" s="4">
        <v>49</v>
      </c>
      <c r="K643" s="4">
        <v>87.74</v>
      </c>
      <c r="L643" s="4">
        <v>142</v>
      </c>
      <c r="M643" s="4">
        <v>65</v>
      </c>
      <c r="N643" s="4">
        <v>86</v>
      </c>
      <c r="O643" s="4">
        <v>52</v>
      </c>
      <c r="P643" s="4">
        <v>34.7111905959297</v>
      </c>
      <c r="Q643" s="4">
        <v>60.005868855502399</v>
      </c>
      <c r="R643" s="4">
        <v>50</v>
      </c>
      <c r="S643" s="7" t="s">
        <v>35</v>
      </c>
      <c r="T643" s="4">
        <v>232982</v>
      </c>
      <c r="U643" s="4">
        <v>235817</v>
      </c>
      <c r="V643" s="4">
        <v>7187</v>
      </c>
      <c r="W643" s="4">
        <v>121100</v>
      </c>
      <c r="X643" s="4">
        <v>82817</v>
      </c>
      <c r="Y643" s="4">
        <v>152000</v>
      </c>
      <c r="Z643" s="4">
        <v>120000</v>
      </c>
      <c r="AA643" s="4">
        <v>2100</v>
      </c>
      <c r="AB643" s="4">
        <v>63735</v>
      </c>
      <c r="AC643" s="4">
        <v>158713</v>
      </c>
      <c r="AD643" s="4">
        <v>5858</v>
      </c>
      <c r="AE643" s="4">
        <v>12006</v>
      </c>
      <c r="AF643" s="4">
        <v>240312</v>
      </c>
      <c r="AG643" s="6">
        <v>3628</v>
      </c>
      <c r="AH643" s="6">
        <v>3606</v>
      </c>
      <c r="AI643" s="6">
        <v>22</v>
      </c>
      <c r="AL643" s="4">
        <v>217</v>
      </c>
      <c r="AM643" s="4">
        <v>945</v>
      </c>
      <c r="AN643" s="4">
        <v>78</v>
      </c>
      <c r="AV643" s="4">
        <v>13</v>
      </c>
      <c r="AW643" s="4">
        <v>16</v>
      </c>
    </row>
    <row r="644" spans="1:49" x14ac:dyDescent="0.2">
      <c r="A644" s="1">
        <v>44083</v>
      </c>
      <c r="B644">
        <f t="shared" si="90"/>
        <v>4.7</v>
      </c>
      <c r="C644" s="1" t="s">
        <v>57</v>
      </c>
      <c r="D644" s="1" t="s">
        <v>62</v>
      </c>
      <c r="E644" s="1" t="s">
        <v>65</v>
      </c>
      <c r="F644" s="1" t="s">
        <v>53</v>
      </c>
      <c r="G644">
        <v>2786</v>
      </c>
      <c r="H644" s="4">
        <v>55.45</v>
      </c>
      <c r="I644" s="4">
        <v>114</v>
      </c>
      <c r="J644" s="4">
        <v>49</v>
      </c>
      <c r="K644" s="4">
        <v>86.38</v>
      </c>
      <c r="L644" s="4">
        <v>131</v>
      </c>
      <c r="M644" s="4">
        <v>63</v>
      </c>
      <c r="N644" s="4">
        <v>84</v>
      </c>
      <c r="O644" s="4">
        <v>50</v>
      </c>
      <c r="P644" s="4">
        <v>33.927378890313101</v>
      </c>
      <c r="Q644" s="4">
        <v>59.157779189567002</v>
      </c>
      <c r="R644" s="4">
        <v>50</v>
      </c>
      <c r="S644" s="7" t="s">
        <v>35</v>
      </c>
      <c r="T644" s="4">
        <v>220488</v>
      </c>
      <c r="U644" s="4">
        <v>253817</v>
      </c>
      <c r="V644" s="4">
        <v>6839</v>
      </c>
      <c r="W644" s="4">
        <v>121100</v>
      </c>
      <c r="X644" s="4">
        <v>82817</v>
      </c>
      <c r="Y644" s="4">
        <v>161000</v>
      </c>
      <c r="Z644" s="4">
        <v>120000</v>
      </c>
      <c r="AA644" s="4">
        <v>11100</v>
      </c>
      <c r="AB644" s="4">
        <v>72385</v>
      </c>
      <c r="AC644" s="4">
        <v>133274</v>
      </c>
      <c r="AD644" s="4">
        <v>5893</v>
      </c>
      <c r="AE644" s="4">
        <v>15913</v>
      </c>
      <c r="AF644" s="4">
        <v>227465</v>
      </c>
      <c r="AG644" s="6">
        <v>3365</v>
      </c>
      <c r="AH644" s="6">
        <v>3343</v>
      </c>
      <c r="AI644" s="6">
        <v>22</v>
      </c>
      <c r="AL644" s="4">
        <v>203</v>
      </c>
      <c r="AM644" s="4">
        <v>925</v>
      </c>
      <c r="AN644" s="4">
        <v>80</v>
      </c>
      <c r="AV644" s="4">
        <v>10</v>
      </c>
      <c r="AW644" s="4">
        <v>14</v>
      </c>
    </row>
    <row r="645" spans="1:49" x14ac:dyDescent="0.2">
      <c r="A645" s="1">
        <v>44082</v>
      </c>
      <c r="B645">
        <f t="shared" si="90"/>
        <v>4.7</v>
      </c>
      <c r="C645" s="1" t="s">
        <v>57</v>
      </c>
      <c r="D645" s="1" t="s">
        <v>62</v>
      </c>
      <c r="E645" s="1" t="s">
        <v>65</v>
      </c>
      <c r="F645" s="1" t="s">
        <v>53</v>
      </c>
      <c r="G645">
        <v>2804</v>
      </c>
      <c r="H645" s="4">
        <v>48.43</v>
      </c>
      <c r="I645" s="4">
        <v>114</v>
      </c>
      <c r="J645" s="4">
        <v>46</v>
      </c>
      <c r="K645" s="4">
        <v>85.2</v>
      </c>
      <c r="L645" s="4">
        <v>136</v>
      </c>
      <c r="M645" s="4">
        <v>65</v>
      </c>
      <c r="N645" s="4">
        <v>85</v>
      </c>
      <c r="O645" s="4">
        <v>51</v>
      </c>
      <c r="P645" s="4">
        <v>33.409500495328999</v>
      </c>
      <c r="Q645" s="4">
        <v>59.505909210239601</v>
      </c>
      <c r="R645" s="4">
        <v>50</v>
      </c>
      <c r="S645" s="7" t="s">
        <v>35</v>
      </c>
      <c r="T645" s="4">
        <v>202692</v>
      </c>
      <c r="U645" s="4">
        <v>243817</v>
      </c>
      <c r="V645" s="4">
        <v>6800</v>
      </c>
      <c r="W645" s="4">
        <v>121100</v>
      </c>
      <c r="X645" s="4">
        <v>82817</v>
      </c>
      <c r="Y645" s="4">
        <v>161000</v>
      </c>
      <c r="Z645" s="4">
        <v>120000</v>
      </c>
      <c r="AA645" s="4">
        <v>1100</v>
      </c>
      <c r="AB645" s="4">
        <v>63688</v>
      </c>
      <c r="AC645" s="4">
        <v>123163</v>
      </c>
      <c r="AD645" s="4">
        <v>6184</v>
      </c>
      <c r="AE645" s="4">
        <v>16574</v>
      </c>
      <c r="AF645" s="4">
        <v>209609</v>
      </c>
      <c r="AG645" s="6">
        <v>3370</v>
      </c>
      <c r="AH645" s="6">
        <v>3330</v>
      </c>
      <c r="AI645" s="6">
        <v>40</v>
      </c>
      <c r="AL645" s="4">
        <v>184</v>
      </c>
      <c r="AM645" s="4">
        <v>895</v>
      </c>
      <c r="AN645" s="4">
        <v>80</v>
      </c>
      <c r="AV645" s="4">
        <v>10</v>
      </c>
      <c r="AW645" s="4">
        <v>16</v>
      </c>
    </row>
    <row r="646" spans="1:49" x14ac:dyDescent="0.2">
      <c r="A646" s="1">
        <v>44081</v>
      </c>
      <c r="B646">
        <f t="shared" si="90"/>
        <v>4.7</v>
      </c>
      <c r="C646" s="1" t="s">
        <v>57</v>
      </c>
      <c r="D646" s="1" t="s">
        <v>62</v>
      </c>
      <c r="E646" s="1" t="s">
        <v>65</v>
      </c>
      <c r="F646" s="1" t="s">
        <v>53</v>
      </c>
      <c r="G646">
        <v>2833</v>
      </c>
      <c r="H646" s="4">
        <v>20.45</v>
      </c>
      <c r="I646" s="4">
        <v>114</v>
      </c>
      <c r="J646" s="4">
        <v>46</v>
      </c>
      <c r="K646" s="4">
        <v>80.31</v>
      </c>
      <c r="L646" s="4">
        <v>134</v>
      </c>
      <c r="M646" s="4">
        <v>68</v>
      </c>
      <c r="N646" s="4">
        <v>86</v>
      </c>
      <c r="O646" s="4">
        <v>51</v>
      </c>
      <c r="P646" s="4">
        <v>33.018934346127203</v>
      </c>
      <c r="Q646" s="4">
        <v>59.351831488821297</v>
      </c>
      <c r="R646" s="4">
        <v>50</v>
      </c>
      <c r="S646" s="7" t="s">
        <v>35</v>
      </c>
      <c r="T646" s="4">
        <v>204368</v>
      </c>
      <c r="U646" s="4">
        <v>248763</v>
      </c>
      <c r="V646" s="4">
        <v>3989</v>
      </c>
      <c r="W646" s="4">
        <v>121100</v>
      </c>
      <c r="X646" s="4">
        <v>82763</v>
      </c>
      <c r="Y646" s="4">
        <v>156000</v>
      </c>
      <c r="Z646" s="4">
        <v>120000</v>
      </c>
      <c r="AA646" s="4">
        <v>11100</v>
      </c>
      <c r="AB646" s="4">
        <v>48888</v>
      </c>
      <c r="AC646" s="4">
        <v>130364</v>
      </c>
      <c r="AD646" s="4">
        <v>3797</v>
      </c>
      <c r="AE646" s="4">
        <v>12643</v>
      </c>
      <c r="AF646" s="4">
        <v>195692</v>
      </c>
      <c r="AG646" s="6">
        <v>3931</v>
      </c>
      <c r="AH646" s="6">
        <v>3878</v>
      </c>
      <c r="AI646" s="6">
        <v>53</v>
      </c>
      <c r="AL646" s="4">
        <v>145</v>
      </c>
      <c r="AM646" s="4">
        <v>903</v>
      </c>
      <c r="AN646" s="4">
        <v>77</v>
      </c>
      <c r="AV646" s="4">
        <v>15</v>
      </c>
      <c r="AW646" s="4">
        <v>24</v>
      </c>
    </row>
    <row r="647" spans="1:49" x14ac:dyDescent="0.2">
      <c r="A647" s="1">
        <v>44080</v>
      </c>
      <c r="B647">
        <v>-14.02</v>
      </c>
      <c r="C647" s="1" t="s">
        <v>57</v>
      </c>
      <c r="D647" s="1" t="s">
        <v>62</v>
      </c>
      <c r="E647" s="1" t="s">
        <v>65</v>
      </c>
      <c r="F647" s="1" t="s">
        <v>53</v>
      </c>
      <c r="G647">
        <v>2848</v>
      </c>
      <c r="H647" s="4">
        <v>67.2</v>
      </c>
      <c r="I647" s="4">
        <v>103</v>
      </c>
      <c r="J647" s="4">
        <v>85</v>
      </c>
      <c r="K647" s="4">
        <v>80.08</v>
      </c>
      <c r="L647" s="4">
        <v>139</v>
      </c>
      <c r="M647" s="4">
        <v>66</v>
      </c>
      <c r="N647" s="4">
        <v>82</v>
      </c>
      <c r="O647" s="4">
        <v>58</v>
      </c>
      <c r="P647" s="4">
        <v>42.777096030589703</v>
      </c>
      <c r="Q647" s="4">
        <v>65.163855155220404</v>
      </c>
      <c r="R647" s="4">
        <v>53</v>
      </c>
      <c r="S647" s="7" t="s">
        <v>35</v>
      </c>
      <c r="T647" s="4">
        <v>193087</v>
      </c>
      <c r="U647" s="4">
        <v>236773</v>
      </c>
      <c r="V647" s="4">
        <v>1256</v>
      </c>
      <c r="W647" s="4">
        <v>121100</v>
      </c>
      <c r="X647" s="4">
        <v>79773</v>
      </c>
      <c r="Y647" s="4">
        <v>147000</v>
      </c>
      <c r="Z647" s="4">
        <v>120000</v>
      </c>
      <c r="AA647" s="4">
        <v>11100</v>
      </c>
      <c r="AB647" s="4">
        <v>43098</v>
      </c>
      <c r="AC647" s="4">
        <v>126832</v>
      </c>
      <c r="AD647" s="4">
        <v>1256</v>
      </c>
      <c r="AE647" s="4">
        <v>18788</v>
      </c>
      <c r="AF647" s="4">
        <v>189974</v>
      </c>
      <c r="AG647" s="6">
        <v>2465</v>
      </c>
      <c r="AH647" s="6">
        <v>2455</v>
      </c>
      <c r="AI647" s="6">
        <v>10</v>
      </c>
      <c r="AL647" s="4">
        <v>137</v>
      </c>
      <c r="AM647" s="4">
        <v>818</v>
      </c>
      <c r="AN647" s="4">
        <v>69</v>
      </c>
      <c r="AV647" s="4">
        <v>9</v>
      </c>
      <c r="AW647" s="4">
        <v>13</v>
      </c>
    </row>
    <row r="648" spans="1:49" x14ac:dyDescent="0.2">
      <c r="A648" s="1">
        <v>44079</v>
      </c>
      <c r="B648">
        <f>B647</f>
        <v>-14.02</v>
      </c>
      <c r="C648" s="1" t="s">
        <v>57</v>
      </c>
      <c r="D648" s="1" t="s">
        <v>62</v>
      </c>
      <c r="E648" s="1" t="s">
        <v>65</v>
      </c>
      <c r="F648" s="1" t="s">
        <v>53</v>
      </c>
      <c r="G648">
        <v>2858</v>
      </c>
      <c r="H648" s="4">
        <v>67.930000000000007</v>
      </c>
      <c r="I648" s="4">
        <v>104</v>
      </c>
      <c r="J648" s="4">
        <v>83</v>
      </c>
      <c r="K648" s="4">
        <v>110.03</v>
      </c>
      <c r="L648" s="4">
        <v>113</v>
      </c>
      <c r="M648" s="4">
        <v>62</v>
      </c>
      <c r="N648" s="4">
        <v>82</v>
      </c>
      <c r="O648" s="4">
        <v>58</v>
      </c>
      <c r="P648" s="4">
        <v>38.956359467018999</v>
      </c>
      <c r="Q648" s="4">
        <v>60.859249477721903</v>
      </c>
      <c r="R648" s="4">
        <v>54</v>
      </c>
      <c r="S648" s="7" t="s">
        <v>35</v>
      </c>
      <c r="T648" s="4">
        <v>188159</v>
      </c>
      <c r="U648" s="4">
        <v>231867</v>
      </c>
      <c r="V648" s="4">
        <v>2807</v>
      </c>
      <c r="W648" s="4">
        <v>121100</v>
      </c>
      <c r="X648" s="4">
        <v>79867</v>
      </c>
      <c r="Y648" s="4">
        <v>142000</v>
      </c>
      <c r="Z648" s="4">
        <v>120000</v>
      </c>
      <c r="AA648" s="4">
        <v>11100</v>
      </c>
      <c r="AB648" s="4">
        <v>54511</v>
      </c>
      <c r="AC648" s="4">
        <v>111608</v>
      </c>
      <c r="AD648" s="4">
        <v>2807</v>
      </c>
      <c r="AE648" s="4">
        <v>22662</v>
      </c>
      <c r="AF648" s="4">
        <v>191588</v>
      </c>
      <c r="AG648" s="6">
        <v>2551</v>
      </c>
      <c r="AH648" s="6">
        <v>2544</v>
      </c>
      <c r="AI648" s="6">
        <v>7</v>
      </c>
      <c r="AL648" s="4">
        <v>130</v>
      </c>
      <c r="AM648" s="4">
        <v>813</v>
      </c>
      <c r="AN648" s="4">
        <v>67</v>
      </c>
      <c r="AV648" s="4">
        <v>13</v>
      </c>
      <c r="AW648" s="4">
        <v>14</v>
      </c>
    </row>
    <row r="649" spans="1:49" x14ac:dyDescent="0.2">
      <c r="A649" s="1">
        <v>44078</v>
      </c>
      <c r="B649">
        <f t="shared" ref="B649:B653" si="91">B648</f>
        <v>-14.02</v>
      </c>
      <c r="C649" s="1" t="s">
        <v>57</v>
      </c>
      <c r="D649" s="1" t="s">
        <v>62</v>
      </c>
      <c r="E649" s="1" t="s">
        <v>65</v>
      </c>
      <c r="F649" s="1" t="s">
        <v>53</v>
      </c>
      <c r="G649">
        <v>2875</v>
      </c>
      <c r="H649" s="4">
        <v>54.73</v>
      </c>
      <c r="I649" s="4">
        <v>114</v>
      </c>
      <c r="J649" s="4">
        <v>49</v>
      </c>
      <c r="K649" s="4">
        <v>93.85</v>
      </c>
      <c r="L649" s="4">
        <v>117</v>
      </c>
      <c r="M649" s="4">
        <v>62</v>
      </c>
      <c r="N649" s="4">
        <v>84</v>
      </c>
      <c r="O649" s="4">
        <v>52</v>
      </c>
      <c r="P649" s="4">
        <v>33.169348271934197</v>
      </c>
      <c r="Q649" s="4">
        <v>55.879835843790701</v>
      </c>
      <c r="R649" s="4">
        <v>50</v>
      </c>
      <c r="S649" s="7" t="s">
        <v>35</v>
      </c>
      <c r="T649" s="4">
        <v>202287</v>
      </c>
      <c r="U649" s="4">
        <v>231149</v>
      </c>
      <c r="V649" s="4">
        <v>7841</v>
      </c>
      <c r="W649" s="4">
        <v>121100</v>
      </c>
      <c r="X649" s="4">
        <v>83149</v>
      </c>
      <c r="Y649" s="4">
        <v>138000</v>
      </c>
      <c r="Z649" s="4">
        <v>120000</v>
      </c>
      <c r="AA649" s="4">
        <v>11100</v>
      </c>
      <c r="AB649" s="4">
        <v>62040</v>
      </c>
      <c r="AC649" s="4">
        <v>126743</v>
      </c>
      <c r="AD649" s="4">
        <v>6780</v>
      </c>
      <c r="AE649" s="4">
        <v>14900</v>
      </c>
      <c r="AF649" s="4">
        <v>210463</v>
      </c>
      <c r="AG649" s="6">
        <v>3092</v>
      </c>
      <c r="AH649" s="6">
        <v>3057</v>
      </c>
      <c r="AI649" s="6">
        <v>35</v>
      </c>
      <c r="AL649" s="4">
        <v>154</v>
      </c>
      <c r="AM649" s="4">
        <v>819</v>
      </c>
      <c r="AN649" s="4">
        <v>69</v>
      </c>
      <c r="AV649" s="4">
        <v>9</v>
      </c>
      <c r="AW649" s="4">
        <v>15</v>
      </c>
    </row>
    <row r="650" spans="1:49" x14ac:dyDescent="0.2">
      <c r="A650" s="1">
        <v>44077</v>
      </c>
      <c r="B650">
        <f t="shared" si="91"/>
        <v>-14.02</v>
      </c>
      <c r="C650" s="1" t="s">
        <v>57</v>
      </c>
      <c r="D650" s="1" t="s">
        <v>62</v>
      </c>
      <c r="E650" s="1" t="s">
        <v>65</v>
      </c>
      <c r="F650" s="1" t="s">
        <v>53</v>
      </c>
      <c r="G650">
        <v>2848</v>
      </c>
      <c r="H650" s="4">
        <v>43.11</v>
      </c>
      <c r="I650" s="4">
        <v>116</v>
      </c>
      <c r="J650" s="4">
        <v>46</v>
      </c>
      <c r="K650" s="4">
        <v>82.67</v>
      </c>
      <c r="L650" s="4">
        <v>110</v>
      </c>
      <c r="M650" s="4">
        <v>62</v>
      </c>
      <c r="N650" s="4">
        <v>82</v>
      </c>
      <c r="O650" s="4">
        <v>47</v>
      </c>
      <c r="P650" s="4">
        <v>31.063566322854701</v>
      </c>
      <c r="Q650" s="4">
        <v>52.742413575620901</v>
      </c>
      <c r="R650" s="4">
        <v>48</v>
      </c>
      <c r="S650" s="7" t="s">
        <v>35</v>
      </c>
      <c r="T650" s="4">
        <v>198983</v>
      </c>
      <c r="U650" s="4">
        <v>231337</v>
      </c>
      <c r="V650" s="4">
        <v>7229</v>
      </c>
      <c r="W650" s="4">
        <v>123600</v>
      </c>
      <c r="X650" s="4">
        <v>83337</v>
      </c>
      <c r="Y650" s="4">
        <v>138000</v>
      </c>
      <c r="Z650" s="4">
        <v>120000</v>
      </c>
      <c r="AA650" s="4">
        <v>13600</v>
      </c>
      <c r="AB650" s="4">
        <v>58914</v>
      </c>
      <c r="AC650" s="4">
        <v>122445</v>
      </c>
      <c r="AD650" s="4">
        <v>6579</v>
      </c>
      <c r="AE650" s="4">
        <v>18945</v>
      </c>
      <c r="AF650" s="4">
        <v>206883</v>
      </c>
      <c r="AG650" s="6">
        <v>3152</v>
      </c>
      <c r="AH650" s="6">
        <v>3105</v>
      </c>
      <c r="AI650" s="6">
        <v>47</v>
      </c>
      <c r="AL650" s="4">
        <v>146</v>
      </c>
      <c r="AM650" s="4">
        <v>818</v>
      </c>
      <c r="AN650" s="4">
        <v>76</v>
      </c>
      <c r="AV650" s="4">
        <v>10</v>
      </c>
      <c r="AW650" s="4">
        <v>9</v>
      </c>
    </row>
    <row r="651" spans="1:49" x14ac:dyDescent="0.2">
      <c r="A651" s="1">
        <v>44076</v>
      </c>
      <c r="B651">
        <f t="shared" si="91"/>
        <v>-14.02</v>
      </c>
      <c r="C651" s="1" t="s">
        <v>57</v>
      </c>
      <c r="D651" s="1" t="s">
        <v>62</v>
      </c>
      <c r="E651" s="1" t="s">
        <v>65</v>
      </c>
      <c r="F651" s="1" t="s">
        <v>53</v>
      </c>
      <c r="G651">
        <v>2836</v>
      </c>
      <c r="H651" s="4">
        <v>49.41</v>
      </c>
      <c r="I651" s="4">
        <v>116</v>
      </c>
      <c r="J651" s="4">
        <v>46</v>
      </c>
      <c r="K651" s="4">
        <v>83.79</v>
      </c>
      <c r="L651" s="4">
        <v>119</v>
      </c>
      <c r="M651" s="4">
        <v>63</v>
      </c>
      <c r="N651" s="4">
        <v>82</v>
      </c>
      <c r="O651" s="4">
        <v>47</v>
      </c>
      <c r="P651" s="4">
        <v>31.039421969219401</v>
      </c>
      <c r="Q651" s="4">
        <v>51.616229803043097</v>
      </c>
      <c r="R651" s="4">
        <v>47</v>
      </c>
      <c r="S651" s="7" t="s">
        <v>35</v>
      </c>
      <c r="T651" s="4">
        <v>195739</v>
      </c>
      <c r="U651" s="4">
        <v>248837</v>
      </c>
      <c r="V651" s="4">
        <v>6487</v>
      </c>
      <c r="W651" s="4">
        <v>123600</v>
      </c>
      <c r="X651" s="4">
        <v>83337</v>
      </c>
      <c r="Y651" s="4">
        <v>155500</v>
      </c>
      <c r="Z651" s="4">
        <v>120000</v>
      </c>
      <c r="AA651" s="4">
        <v>13600</v>
      </c>
      <c r="AB651" s="4">
        <v>62197</v>
      </c>
      <c r="AC651" s="4">
        <v>119575</v>
      </c>
      <c r="AD651" s="4">
        <v>6078</v>
      </c>
      <c r="AE651" s="4">
        <v>15371</v>
      </c>
      <c r="AF651" s="4">
        <v>203221</v>
      </c>
      <c r="AG651" s="6">
        <v>3077</v>
      </c>
      <c r="AH651" s="6">
        <v>3015</v>
      </c>
      <c r="AI651" s="6">
        <v>62</v>
      </c>
      <c r="AL651" s="4">
        <v>145</v>
      </c>
      <c r="AM651" s="4">
        <v>804</v>
      </c>
      <c r="AN651" s="4">
        <v>81</v>
      </c>
      <c r="AV651" s="4">
        <v>10</v>
      </c>
      <c r="AW651" s="4">
        <v>15</v>
      </c>
    </row>
    <row r="652" spans="1:49" x14ac:dyDescent="0.2">
      <c r="A652" s="1">
        <v>44075</v>
      </c>
      <c r="B652">
        <f t="shared" si="91"/>
        <v>-14.02</v>
      </c>
      <c r="C652" s="1" t="s">
        <v>57</v>
      </c>
      <c r="D652" s="1" t="s">
        <v>62</v>
      </c>
      <c r="E652" s="1" t="s">
        <v>65</v>
      </c>
      <c r="F652" s="1" t="s">
        <v>53</v>
      </c>
      <c r="G652">
        <v>2818</v>
      </c>
      <c r="H652" s="4">
        <v>45.86</v>
      </c>
      <c r="I652" s="4">
        <v>115</v>
      </c>
      <c r="J652" s="4">
        <v>44</v>
      </c>
      <c r="K652" s="4">
        <v>85.42</v>
      </c>
      <c r="L652" s="4">
        <v>141</v>
      </c>
      <c r="M652" s="4">
        <v>66</v>
      </c>
      <c r="N652" s="4">
        <v>85</v>
      </c>
      <c r="O652" s="4">
        <v>48</v>
      </c>
      <c r="P652" s="4">
        <v>30.151380835934301</v>
      </c>
      <c r="Q652" s="4">
        <v>50.887288826355103</v>
      </c>
      <c r="R652" s="4">
        <v>47</v>
      </c>
      <c r="S652" s="7" t="s">
        <v>35</v>
      </c>
      <c r="T652" s="4">
        <v>171784</v>
      </c>
      <c r="U652" s="4">
        <v>248837</v>
      </c>
      <c r="V652" s="4">
        <v>4348</v>
      </c>
      <c r="W652" s="4">
        <v>121100</v>
      </c>
      <c r="X652" s="4">
        <v>83337</v>
      </c>
      <c r="Y652" s="4">
        <v>155500</v>
      </c>
      <c r="Z652" s="4">
        <v>120000</v>
      </c>
      <c r="AA652" s="4">
        <v>11100</v>
      </c>
      <c r="AB652" s="4">
        <v>49760</v>
      </c>
      <c r="AC652" s="4">
        <v>114598</v>
      </c>
      <c r="AD652" s="4">
        <v>3995</v>
      </c>
      <c r="AE652" s="4">
        <v>7334</v>
      </c>
      <c r="AF652" s="4">
        <v>175687</v>
      </c>
      <c r="AG652" s="6">
        <v>2288</v>
      </c>
      <c r="AH652" s="6">
        <v>2267</v>
      </c>
      <c r="AI652" s="6">
        <v>21</v>
      </c>
      <c r="AL652" s="4">
        <v>134</v>
      </c>
      <c r="AM652" s="4">
        <v>862</v>
      </c>
      <c r="AN652" s="4">
        <v>82</v>
      </c>
      <c r="AV652" s="4">
        <v>5</v>
      </c>
      <c r="AW652" s="4">
        <v>11</v>
      </c>
    </row>
    <row r="653" spans="1:49" x14ac:dyDescent="0.2">
      <c r="A653" s="1">
        <v>44074</v>
      </c>
      <c r="B653">
        <f t="shared" si="91"/>
        <v>-14.02</v>
      </c>
      <c r="C653" s="1" t="s">
        <v>59</v>
      </c>
      <c r="D653" s="1" t="s">
        <v>62</v>
      </c>
      <c r="E653" s="1" t="s">
        <v>65</v>
      </c>
      <c r="F653" s="1" t="s">
        <v>53</v>
      </c>
      <c r="G653">
        <v>2806</v>
      </c>
      <c r="H653" s="4">
        <v>154.43</v>
      </c>
      <c r="I653" s="4">
        <v>117</v>
      </c>
      <c r="J653" s="4">
        <v>26</v>
      </c>
      <c r="K653" s="4">
        <v>86.98</v>
      </c>
      <c r="L653" s="4">
        <v>168</v>
      </c>
      <c r="M653" s="4">
        <v>82</v>
      </c>
      <c r="N653" s="4">
        <v>76</v>
      </c>
      <c r="O653" s="4">
        <v>41</v>
      </c>
      <c r="P653" s="4">
        <v>24.537988318480998</v>
      </c>
      <c r="Q653" s="4">
        <v>39.746123408208597</v>
      </c>
      <c r="R653" s="4">
        <v>53</v>
      </c>
      <c r="S653" s="7" t="s">
        <v>32</v>
      </c>
      <c r="T653" s="4">
        <v>182178</v>
      </c>
      <c r="U653" s="4">
        <v>249222</v>
      </c>
      <c r="V653" s="4">
        <v>1566</v>
      </c>
      <c r="W653" s="4">
        <v>121100</v>
      </c>
      <c r="X653" s="4">
        <v>83222</v>
      </c>
      <c r="Y653" s="4">
        <v>156000</v>
      </c>
      <c r="Z653" s="4">
        <v>120000</v>
      </c>
      <c r="AA653" s="4">
        <v>11100</v>
      </c>
      <c r="AB653" s="4">
        <v>39267</v>
      </c>
      <c r="AC653" s="4">
        <v>119287</v>
      </c>
      <c r="AD653" s="4">
        <v>1420</v>
      </c>
      <c r="AE653" s="4">
        <v>21960</v>
      </c>
      <c r="AF653" s="4">
        <v>181934</v>
      </c>
      <c r="AG653" s="6">
        <v>1513</v>
      </c>
      <c r="AH653" s="6">
        <v>1506</v>
      </c>
      <c r="AI653" s="6">
        <v>7</v>
      </c>
      <c r="AL653" s="4">
        <v>90</v>
      </c>
      <c r="AM653" s="4">
        <v>855</v>
      </c>
      <c r="AN653" s="4">
        <v>71</v>
      </c>
      <c r="AV653" s="4">
        <v>10</v>
      </c>
      <c r="AW653" s="4">
        <v>18</v>
      </c>
    </row>
    <row r="654" spans="1:49" x14ac:dyDescent="0.2">
      <c r="A654" s="1">
        <v>44073</v>
      </c>
      <c r="B654">
        <v>8.6999999999999993</v>
      </c>
      <c r="C654" s="1" t="s">
        <v>59</v>
      </c>
      <c r="D654" s="1" t="s">
        <v>62</v>
      </c>
      <c r="E654" s="1" t="s">
        <v>65</v>
      </c>
      <c r="F654" s="1" t="s">
        <v>53</v>
      </c>
      <c r="G654">
        <v>2778</v>
      </c>
      <c r="H654" s="4">
        <v>78.02</v>
      </c>
      <c r="I654" s="4">
        <v>102</v>
      </c>
      <c r="J654" s="4">
        <v>85</v>
      </c>
      <c r="K654" s="4">
        <v>85.02</v>
      </c>
      <c r="L654" s="4">
        <v>122</v>
      </c>
      <c r="M654" s="4">
        <v>65</v>
      </c>
      <c r="N654" s="4">
        <v>77</v>
      </c>
      <c r="O654" s="4">
        <v>59</v>
      </c>
      <c r="P654" s="4">
        <v>45.1885384389129</v>
      </c>
      <c r="Q654" s="4">
        <v>65.141082780062405</v>
      </c>
      <c r="R654" s="4">
        <v>52</v>
      </c>
      <c r="S654" s="7" t="s">
        <v>32</v>
      </c>
      <c r="T654" s="4">
        <v>180908</v>
      </c>
      <c r="U654" s="4">
        <v>227768</v>
      </c>
      <c r="V654" s="4">
        <v>1027</v>
      </c>
      <c r="W654" s="4">
        <v>121100</v>
      </c>
      <c r="X654" s="4">
        <v>79768</v>
      </c>
      <c r="Y654" s="4">
        <v>138000</v>
      </c>
      <c r="Z654" s="4">
        <v>120000</v>
      </c>
      <c r="AA654" s="4">
        <v>11100</v>
      </c>
      <c r="AB654" s="4">
        <v>41083</v>
      </c>
      <c r="AC654" s="4">
        <v>125788</v>
      </c>
      <c r="AD654" s="4">
        <v>759</v>
      </c>
      <c r="AE654" s="4">
        <v>14435</v>
      </c>
      <c r="AF654" s="4">
        <v>182065</v>
      </c>
      <c r="AG654" s="6">
        <v>1171</v>
      </c>
      <c r="AH654" s="6">
        <v>1167</v>
      </c>
      <c r="AI654" s="6">
        <v>4</v>
      </c>
      <c r="AL654" s="4">
        <v>77</v>
      </c>
      <c r="AM654" s="4">
        <v>832</v>
      </c>
      <c r="AN654" s="4">
        <v>68</v>
      </c>
      <c r="AV654" s="4">
        <v>6</v>
      </c>
      <c r="AW654" s="4">
        <v>11</v>
      </c>
    </row>
    <row r="655" spans="1:49" x14ac:dyDescent="0.2">
      <c r="A655" s="1">
        <v>44072</v>
      </c>
      <c r="B655">
        <f>B654</f>
        <v>8.6999999999999993</v>
      </c>
      <c r="C655" s="1" t="s">
        <v>59</v>
      </c>
      <c r="D655" s="1" t="s">
        <v>62</v>
      </c>
      <c r="E655" s="1" t="s">
        <v>65</v>
      </c>
      <c r="F655" s="1" t="s">
        <v>53</v>
      </c>
      <c r="G655">
        <v>2766</v>
      </c>
      <c r="H655" s="4">
        <v>63.89</v>
      </c>
      <c r="I655" s="4">
        <v>105</v>
      </c>
      <c r="J655" s="4">
        <v>81</v>
      </c>
      <c r="K655" s="4">
        <v>100.51</v>
      </c>
      <c r="L655" s="4">
        <v>82</v>
      </c>
      <c r="M655" s="4">
        <v>57</v>
      </c>
      <c r="N655" s="4">
        <v>77</v>
      </c>
      <c r="O655" s="4">
        <v>55</v>
      </c>
      <c r="P655" s="4">
        <v>36.745563324889098</v>
      </c>
      <c r="Q655" s="4">
        <v>57.719295275751797</v>
      </c>
      <c r="R655" s="4">
        <v>47</v>
      </c>
      <c r="S655" s="7" t="s">
        <v>32</v>
      </c>
      <c r="T655" s="4">
        <v>179116</v>
      </c>
      <c r="U655" s="4">
        <v>227902</v>
      </c>
      <c r="V655" s="4">
        <v>3477</v>
      </c>
      <c r="W655" s="4">
        <v>121100</v>
      </c>
      <c r="X655" s="4">
        <v>79902</v>
      </c>
      <c r="Y655" s="4">
        <v>138000</v>
      </c>
      <c r="Z655" s="4">
        <v>120000</v>
      </c>
      <c r="AA655" s="4">
        <v>11100</v>
      </c>
      <c r="AB655" s="4">
        <v>44361</v>
      </c>
      <c r="AC655" s="4">
        <v>126213</v>
      </c>
      <c r="AD655" s="4">
        <v>2309</v>
      </c>
      <c r="AE655" s="4">
        <v>10627</v>
      </c>
      <c r="AF655" s="4">
        <v>183510</v>
      </c>
      <c r="AG655" s="6">
        <v>1230</v>
      </c>
      <c r="AH655" s="6">
        <v>1225</v>
      </c>
      <c r="AI655" s="6">
        <v>5</v>
      </c>
      <c r="AL655" s="4">
        <v>110</v>
      </c>
      <c r="AM655" s="4">
        <v>834</v>
      </c>
      <c r="AN655" s="4">
        <v>66</v>
      </c>
      <c r="AV655" s="4">
        <v>5</v>
      </c>
      <c r="AW655" s="4">
        <v>8</v>
      </c>
    </row>
    <row r="656" spans="1:49" x14ac:dyDescent="0.2">
      <c r="A656" s="1">
        <v>44071</v>
      </c>
      <c r="B656">
        <f t="shared" ref="B656:B660" si="92">B655</f>
        <v>8.6999999999999993</v>
      </c>
      <c r="C656" s="1" t="s">
        <v>59</v>
      </c>
      <c r="D656" s="1" t="s">
        <v>62</v>
      </c>
      <c r="E656" s="1" t="s">
        <v>65</v>
      </c>
      <c r="F656" s="1" t="s">
        <v>53</v>
      </c>
      <c r="G656">
        <v>2755</v>
      </c>
      <c r="H656" s="4">
        <v>51.65</v>
      </c>
      <c r="I656" s="4">
        <v>115</v>
      </c>
      <c r="J656" s="4">
        <v>45</v>
      </c>
      <c r="K656" s="4">
        <v>88.6</v>
      </c>
      <c r="L656" s="4">
        <v>99</v>
      </c>
      <c r="M656" s="4">
        <v>61</v>
      </c>
      <c r="N656" s="4">
        <v>83</v>
      </c>
      <c r="O656" s="4">
        <v>48</v>
      </c>
      <c r="P656" s="4">
        <v>29.830913523063501</v>
      </c>
      <c r="Q656" s="4">
        <v>48.887390776661</v>
      </c>
      <c r="R656" s="4">
        <v>45</v>
      </c>
      <c r="S656" s="7" t="s">
        <v>32</v>
      </c>
      <c r="T656" s="4">
        <v>188580</v>
      </c>
      <c r="U656" s="4">
        <v>231034</v>
      </c>
      <c r="V656" s="4">
        <v>8237</v>
      </c>
      <c r="W656" s="4">
        <v>121100</v>
      </c>
      <c r="X656" s="4">
        <v>83034</v>
      </c>
      <c r="Y656" s="4">
        <v>138000</v>
      </c>
      <c r="Z656" s="4">
        <v>120000</v>
      </c>
      <c r="AA656" s="4">
        <v>11100</v>
      </c>
      <c r="AB656" s="4">
        <v>53267</v>
      </c>
      <c r="AC656" s="4">
        <v>115417</v>
      </c>
      <c r="AD656" s="4">
        <v>6886</v>
      </c>
      <c r="AE656" s="4">
        <v>21641</v>
      </c>
      <c r="AF656" s="4">
        <v>197211</v>
      </c>
      <c r="AG656" s="6">
        <v>1632</v>
      </c>
      <c r="AH656" s="6">
        <v>1621</v>
      </c>
      <c r="AI656" s="6">
        <v>11</v>
      </c>
      <c r="AL656" s="4">
        <v>138</v>
      </c>
      <c r="AM656" s="4">
        <v>819</v>
      </c>
      <c r="AN656" s="4">
        <v>60</v>
      </c>
      <c r="AV656" s="4">
        <v>11</v>
      </c>
      <c r="AW656" s="4">
        <v>12</v>
      </c>
    </row>
    <row r="657" spans="1:49" x14ac:dyDescent="0.2">
      <c r="A657" s="1">
        <v>44070</v>
      </c>
      <c r="B657">
        <f t="shared" si="92"/>
        <v>8.6999999999999993</v>
      </c>
      <c r="C657" s="1" t="s">
        <v>59</v>
      </c>
      <c r="D657" s="1" t="s">
        <v>62</v>
      </c>
      <c r="E657" s="1" t="s">
        <v>65</v>
      </c>
      <c r="F657" s="1" t="s">
        <v>53</v>
      </c>
      <c r="G657">
        <v>2754</v>
      </c>
      <c r="H657" s="4">
        <v>43.74</v>
      </c>
      <c r="I657" s="4">
        <v>117</v>
      </c>
      <c r="J657" s="4">
        <v>44</v>
      </c>
      <c r="K657" s="4">
        <v>76.09</v>
      </c>
      <c r="L657" s="4">
        <v>98</v>
      </c>
      <c r="M657" s="4">
        <v>60</v>
      </c>
      <c r="N657" s="4">
        <v>77</v>
      </c>
      <c r="O657" s="4">
        <v>44</v>
      </c>
      <c r="P657" s="4">
        <v>28.634730793407101</v>
      </c>
      <c r="Q657" s="4">
        <v>46.684900509890099</v>
      </c>
      <c r="R657" s="4">
        <v>43</v>
      </c>
      <c r="S657" s="7" t="s">
        <v>32</v>
      </c>
      <c r="T657" s="4">
        <v>193326</v>
      </c>
      <c r="U657" s="4">
        <v>231059</v>
      </c>
      <c r="V657" s="4">
        <v>8894</v>
      </c>
      <c r="W657" s="4">
        <v>123600</v>
      </c>
      <c r="X657" s="4">
        <v>83059</v>
      </c>
      <c r="Y657" s="4">
        <v>138000</v>
      </c>
      <c r="Z657" s="4">
        <v>120000</v>
      </c>
      <c r="AA657" s="4">
        <v>13600</v>
      </c>
      <c r="AB657" s="4">
        <v>54836</v>
      </c>
      <c r="AC657" s="4">
        <v>123367</v>
      </c>
      <c r="AD657" s="4">
        <v>6994</v>
      </c>
      <c r="AE657" s="4">
        <v>18219</v>
      </c>
      <c r="AF657" s="4">
        <v>203416</v>
      </c>
      <c r="AG657" s="6">
        <v>1591</v>
      </c>
      <c r="AH657" s="6">
        <v>1563</v>
      </c>
      <c r="AI657" s="6">
        <v>28</v>
      </c>
      <c r="AL657" s="4">
        <v>152</v>
      </c>
      <c r="AM657" s="4">
        <v>841</v>
      </c>
      <c r="AN657" s="4">
        <v>71</v>
      </c>
      <c r="AV657" s="4">
        <v>9</v>
      </c>
      <c r="AW657" s="4">
        <v>12</v>
      </c>
    </row>
    <row r="658" spans="1:49" x14ac:dyDescent="0.2">
      <c r="A658" s="1">
        <v>44069</v>
      </c>
      <c r="B658">
        <f t="shared" si="92"/>
        <v>8.6999999999999993</v>
      </c>
      <c r="C658" s="1" t="s">
        <v>59</v>
      </c>
      <c r="D658" s="1" t="s">
        <v>62</v>
      </c>
      <c r="E658" s="1" t="s">
        <v>65</v>
      </c>
      <c r="F658" s="1" t="s">
        <v>53</v>
      </c>
      <c r="G658">
        <v>2734</v>
      </c>
      <c r="H658" s="4">
        <v>104.2</v>
      </c>
      <c r="I658" s="4">
        <v>115</v>
      </c>
      <c r="J658" s="4">
        <v>46</v>
      </c>
      <c r="K658" s="4">
        <v>94.79</v>
      </c>
      <c r="L658" s="4">
        <v>139</v>
      </c>
      <c r="M658" s="4">
        <v>75</v>
      </c>
      <c r="N658" s="4">
        <v>81</v>
      </c>
      <c r="O658" s="4">
        <v>48</v>
      </c>
      <c r="P658" s="4">
        <v>31.925000901677901</v>
      </c>
      <c r="Q658" s="4">
        <v>50.582909369757203</v>
      </c>
      <c r="R658" s="4">
        <v>49</v>
      </c>
      <c r="S658" s="7" t="s">
        <v>32</v>
      </c>
      <c r="T658" s="4">
        <v>202433</v>
      </c>
      <c r="U658" s="4">
        <v>231059</v>
      </c>
      <c r="V658" s="4">
        <v>7237</v>
      </c>
      <c r="W658" s="4">
        <v>123600</v>
      </c>
      <c r="X658" s="4">
        <v>83059</v>
      </c>
      <c r="Y658" s="4">
        <v>138000</v>
      </c>
      <c r="Z658" s="4">
        <v>120000</v>
      </c>
      <c r="AA658" s="4">
        <v>13600</v>
      </c>
      <c r="AB658" s="4">
        <v>58643</v>
      </c>
      <c r="AC658" s="4">
        <v>125818</v>
      </c>
      <c r="AD658" s="4">
        <v>6138</v>
      </c>
      <c r="AE658" s="4">
        <v>18236</v>
      </c>
      <c r="AF658" s="4">
        <v>208835</v>
      </c>
      <c r="AG658" s="6">
        <v>1388</v>
      </c>
      <c r="AH658" s="6">
        <v>1359</v>
      </c>
      <c r="AI658" s="6">
        <v>29</v>
      </c>
      <c r="AL658" s="4">
        <v>130</v>
      </c>
      <c r="AM658" s="4">
        <v>830</v>
      </c>
      <c r="AN658" s="4">
        <v>64</v>
      </c>
      <c r="AV658" s="4">
        <v>11</v>
      </c>
      <c r="AW658" s="4">
        <v>16</v>
      </c>
    </row>
    <row r="659" spans="1:49" x14ac:dyDescent="0.2">
      <c r="A659" s="1">
        <v>44068</v>
      </c>
      <c r="B659">
        <f t="shared" si="92"/>
        <v>8.6999999999999993</v>
      </c>
      <c r="C659" s="1" t="s">
        <v>59</v>
      </c>
      <c r="D659" s="1" t="s">
        <v>62</v>
      </c>
      <c r="E659" s="1" t="s">
        <v>65</v>
      </c>
      <c r="F659" s="1" t="s">
        <v>53</v>
      </c>
      <c r="G659">
        <v>2726</v>
      </c>
      <c r="H659" s="4">
        <v>105.47</v>
      </c>
      <c r="I659" s="4">
        <v>117</v>
      </c>
      <c r="J659" s="4">
        <v>43</v>
      </c>
      <c r="K659" s="4">
        <v>81.25</v>
      </c>
      <c r="L659" s="4">
        <v>97</v>
      </c>
      <c r="M659" s="4">
        <v>69</v>
      </c>
      <c r="N659" s="4">
        <v>77</v>
      </c>
      <c r="O659" s="4">
        <v>45</v>
      </c>
      <c r="P659" s="4">
        <v>29.496594356966799</v>
      </c>
      <c r="Q659" s="4">
        <v>47.110538537515403</v>
      </c>
      <c r="R659" s="4">
        <v>46</v>
      </c>
      <c r="S659" s="7" t="s">
        <v>32</v>
      </c>
      <c r="T659" s="4">
        <v>179364</v>
      </c>
      <c r="U659" s="4">
        <v>228059</v>
      </c>
      <c r="V659" s="4">
        <v>6898</v>
      </c>
      <c r="W659" s="4">
        <v>121100</v>
      </c>
      <c r="X659" s="4">
        <v>83059</v>
      </c>
      <c r="Y659" s="4">
        <v>135000</v>
      </c>
      <c r="Z659" s="4">
        <v>120000</v>
      </c>
      <c r="AA659" s="4">
        <v>11100</v>
      </c>
      <c r="AB659" s="4">
        <v>59359</v>
      </c>
      <c r="AC659" s="4">
        <v>103799</v>
      </c>
      <c r="AD659" s="4">
        <v>5682</v>
      </c>
      <c r="AE659" s="4">
        <v>17660</v>
      </c>
      <c r="AF659" s="4">
        <v>186500</v>
      </c>
      <c r="AG659" s="6">
        <v>1270</v>
      </c>
      <c r="AH659" s="6">
        <v>1250</v>
      </c>
      <c r="AI659" s="6">
        <v>20</v>
      </c>
      <c r="AL659" s="4">
        <v>119</v>
      </c>
      <c r="AM659" s="4">
        <v>845</v>
      </c>
      <c r="AN659" s="4">
        <v>68</v>
      </c>
      <c r="AV659" s="4">
        <v>12</v>
      </c>
      <c r="AW659" s="4">
        <v>22</v>
      </c>
    </row>
    <row r="660" spans="1:49" x14ac:dyDescent="0.2">
      <c r="A660" s="1">
        <v>44067</v>
      </c>
      <c r="B660">
        <f t="shared" si="92"/>
        <v>8.6999999999999993</v>
      </c>
      <c r="C660" s="1" t="s">
        <v>59</v>
      </c>
      <c r="D660" s="1" t="s">
        <v>62</v>
      </c>
      <c r="E660" s="1" t="s">
        <v>65</v>
      </c>
      <c r="F660" s="1" t="s">
        <v>53</v>
      </c>
      <c r="G660">
        <v>2723</v>
      </c>
      <c r="H660" s="4">
        <v>93.98</v>
      </c>
      <c r="I660" s="4">
        <v>115</v>
      </c>
      <c r="J660" s="4">
        <v>44</v>
      </c>
      <c r="K660" s="4">
        <v>80.94</v>
      </c>
      <c r="L660" s="4">
        <v>133</v>
      </c>
      <c r="M660" s="4">
        <v>74</v>
      </c>
      <c r="N660" s="4">
        <v>79</v>
      </c>
      <c r="O660" s="4">
        <v>46</v>
      </c>
      <c r="P660" s="4">
        <v>29.473308615164498</v>
      </c>
      <c r="Q660" s="4">
        <v>48.740321900189102</v>
      </c>
      <c r="R660" s="4">
        <v>46</v>
      </c>
      <c r="S660" s="7" t="s">
        <v>32</v>
      </c>
      <c r="T660" s="4">
        <v>149699</v>
      </c>
      <c r="U660" s="4">
        <v>227965</v>
      </c>
      <c r="V660" s="4">
        <v>5453</v>
      </c>
      <c r="W660" s="4">
        <v>121100</v>
      </c>
      <c r="X660" s="4">
        <v>82965</v>
      </c>
      <c r="Y660" s="4">
        <v>135000</v>
      </c>
      <c r="Z660" s="4">
        <v>120000</v>
      </c>
      <c r="AA660" s="4">
        <v>11100</v>
      </c>
      <c r="AB660" s="4">
        <v>43696</v>
      </c>
      <c r="AC660" s="4">
        <v>93317</v>
      </c>
      <c r="AD660" s="4">
        <v>3996</v>
      </c>
      <c r="AE660" s="4">
        <v>12384</v>
      </c>
      <c r="AF660" s="4">
        <v>153393</v>
      </c>
      <c r="AG660" s="6">
        <v>1301</v>
      </c>
      <c r="AH660" s="6">
        <v>1289</v>
      </c>
      <c r="AI660" s="6">
        <v>12</v>
      </c>
      <c r="AL660" s="4">
        <v>91</v>
      </c>
      <c r="AM660" s="4">
        <v>877</v>
      </c>
      <c r="AN660" s="4">
        <v>68</v>
      </c>
      <c r="AV660" s="4">
        <v>6</v>
      </c>
      <c r="AW660" s="4">
        <v>10</v>
      </c>
    </row>
    <row r="661" spans="1:49" x14ac:dyDescent="0.2">
      <c r="A661" s="1">
        <v>44066</v>
      </c>
      <c r="B661">
        <v>4.7</v>
      </c>
      <c r="C661" s="1" t="s">
        <v>59</v>
      </c>
      <c r="D661" s="1" t="s">
        <v>62</v>
      </c>
      <c r="E661" s="1" t="s">
        <v>65</v>
      </c>
      <c r="F661" s="1" t="s">
        <v>53</v>
      </c>
      <c r="G661">
        <v>2731</v>
      </c>
      <c r="H661" s="4">
        <v>56.91</v>
      </c>
      <c r="I661" s="4">
        <v>103</v>
      </c>
      <c r="J661" s="4">
        <v>86</v>
      </c>
      <c r="K661" s="4">
        <v>69.27</v>
      </c>
      <c r="L661" s="4">
        <v>127</v>
      </c>
      <c r="M661" s="4">
        <v>59</v>
      </c>
      <c r="N661" s="4">
        <v>75</v>
      </c>
      <c r="O661" s="4">
        <v>55</v>
      </c>
      <c r="P661" s="4">
        <v>37.4660346254609</v>
      </c>
      <c r="Q661" s="4">
        <v>60.432798265141599</v>
      </c>
      <c r="R661" s="4">
        <v>47</v>
      </c>
      <c r="S661" s="7" t="s">
        <v>32</v>
      </c>
      <c r="T661" s="4">
        <v>165295</v>
      </c>
      <c r="U661" s="4">
        <v>209793</v>
      </c>
      <c r="V661" s="4">
        <v>9754</v>
      </c>
      <c r="W661" s="4">
        <v>121100</v>
      </c>
      <c r="X661" s="4">
        <v>79793</v>
      </c>
      <c r="Y661" s="4">
        <v>120000</v>
      </c>
      <c r="Z661" s="4">
        <v>120000</v>
      </c>
      <c r="AA661" s="4">
        <v>11100</v>
      </c>
      <c r="AB661" s="4">
        <v>41150</v>
      </c>
      <c r="AC661" s="4">
        <v>114721</v>
      </c>
      <c r="AD661" s="4">
        <v>821</v>
      </c>
      <c r="AE661" s="4">
        <v>18517</v>
      </c>
      <c r="AF661" s="4">
        <v>175209</v>
      </c>
      <c r="AG661" s="6">
        <v>831</v>
      </c>
      <c r="AH661" s="6">
        <v>828</v>
      </c>
      <c r="AI661" s="6">
        <v>3</v>
      </c>
      <c r="AL661" s="4">
        <v>74</v>
      </c>
      <c r="AM661" s="4">
        <v>871</v>
      </c>
      <c r="AN661" s="4">
        <v>72</v>
      </c>
      <c r="AV661" s="4">
        <v>16</v>
      </c>
      <c r="AW661" s="4">
        <v>17</v>
      </c>
    </row>
    <row r="662" spans="1:49" x14ac:dyDescent="0.2">
      <c r="A662" s="1">
        <v>44065</v>
      </c>
      <c r="B662">
        <f>B661</f>
        <v>4.7</v>
      </c>
      <c r="C662" s="1" t="s">
        <v>59</v>
      </c>
      <c r="D662" s="1" t="s">
        <v>62</v>
      </c>
      <c r="E662" s="1" t="s">
        <v>65</v>
      </c>
      <c r="F662" s="1" t="s">
        <v>53</v>
      </c>
      <c r="G662">
        <v>2710</v>
      </c>
      <c r="H662" s="4">
        <v>68.09</v>
      </c>
      <c r="I662" s="4">
        <v>104</v>
      </c>
      <c r="J662" s="4">
        <v>83</v>
      </c>
      <c r="K662" s="4">
        <v>98.05</v>
      </c>
      <c r="L662" s="4">
        <v>112</v>
      </c>
      <c r="M662" s="4">
        <v>55</v>
      </c>
      <c r="N662" s="4">
        <v>78</v>
      </c>
      <c r="O662" s="4">
        <v>55</v>
      </c>
      <c r="P662" s="4">
        <v>34.238832758473301</v>
      </c>
      <c r="Q662" s="4">
        <v>56.438667823196603</v>
      </c>
      <c r="R662" s="4">
        <v>47</v>
      </c>
      <c r="S662" s="7" t="s">
        <v>32</v>
      </c>
      <c r="T662" s="4">
        <v>176844</v>
      </c>
      <c r="U662" s="4">
        <v>199887</v>
      </c>
      <c r="V662" s="4">
        <v>4176</v>
      </c>
      <c r="W662" s="4">
        <v>121100</v>
      </c>
      <c r="X662" s="4">
        <v>79887</v>
      </c>
      <c r="Y662" s="4">
        <v>120000</v>
      </c>
      <c r="Z662" s="4">
        <v>120000</v>
      </c>
      <c r="AA662" s="4">
        <v>1100</v>
      </c>
      <c r="AB662" s="4">
        <v>49830</v>
      </c>
      <c r="AC662" s="4">
        <v>121555</v>
      </c>
      <c r="AD662" s="4">
        <v>3195</v>
      </c>
      <c r="AE662" s="4">
        <v>6875</v>
      </c>
      <c r="AF662" s="4">
        <v>181455</v>
      </c>
      <c r="AG662" s="6">
        <v>842</v>
      </c>
      <c r="AH662" s="6">
        <v>836</v>
      </c>
      <c r="AI662" s="6">
        <v>6</v>
      </c>
      <c r="AL662" s="4">
        <v>73</v>
      </c>
      <c r="AM662" s="4">
        <v>944</v>
      </c>
      <c r="AN662" s="4">
        <v>71</v>
      </c>
      <c r="AV662" s="4">
        <v>9</v>
      </c>
      <c r="AW662" s="4">
        <v>12</v>
      </c>
    </row>
    <row r="663" spans="1:49" x14ac:dyDescent="0.2">
      <c r="A663" s="1">
        <v>44064</v>
      </c>
      <c r="B663">
        <f t="shared" ref="B663:B667" si="93">B662</f>
        <v>4.7</v>
      </c>
      <c r="C663" s="1" t="s">
        <v>59</v>
      </c>
      <c r="D663" s="1" t="s">
        <v>62</v>
      </c>
      <c r="E663" s="1" t="s">
        <v>65</v>
      </c>
      <c r="F663" s="1" t="s">
        <v>53</v>
      </c>
      <c r="G663">
        <v>2699</v>
      </c>
      <c r="H663" s="4">
        <v>50.93</v>
      </c>
      <c r="I663" s="4">
        <v>116</v>
      </c>
      <c r="J663" s="4">
        <v>45</v>
      </c>
      <c r="K663" s="4">
        <v>83.14</v>
      </c>
      <c r="L663" s="4">
        <v>113</v>
      </c>
      <c r="M663" s="4">
        <v>57</v>
      </c>
      <c r="N663" s="4">
        <v>80</v>
      </c>
      <c r="O663" s="4">
        <v>46</v>
      </c>
      <c r="P663" s="4">
        <v>27.774584855300301</v>
      </c>
      <c r="Q663" s="4">
        <v>46.684223906911697</v>
      </c>
      <c r="R663" s="4">
        <v>43</v>
      </c>
      <c r="S663" s="7" t="s">
        <v>32</v>
      </c>
      <c r="T663" s="4">
        <v>181322</v>
      </c>
      <c r="U663" s="4">
        <v>210065</v>
      </c>
      <c r="V663" s="4">
        <v>9482</v>
      </c>
      <c r="W663" s="4">
        <v>121100</v>
      </c>
      <c r="X663" s="4">
        <v>83065</v>
      </c>
      <c r="Y663" s="4">
        <v>127000</v>
      </c>
      <c r="Z663" s="4">
        <v>120000</v>
      </c>
      <c r="AA663" s="4">
        <v>1100</v>
      </c>
      <c r="AB663" s="4">
        <v>56061</v>
      </c>
      <c r="AC663" s="4">
        <v>124274</v>
      </c>
      <c r="AD663" s="4">
        <v>7455</v>
      </c>
      <c r="AE663" s="4">
        <v>3570</v>
      </c>
      <c r="AF663" s="4">
        <v>191360</v>
      </c>
      <c r="AG663" s="6">
        <v>1218</v>
      </c>
      <c r="AH663" s="6">
        <v>1198</v>
      </c>
      <c r="AI663" s="6">
        <v>20</v>
      </c>
      <c r="AL663" s="4">
        <v>109</v>
      </c>
      <c r="AM663" s="4">
        <v>889</v>
      </c>
      <c r="AN663" s="4">
        <v>72</v>
      </c>
      <c r="AV663" s="4">
        <v>7</v>
      </c>
      <c r="AW663" s="4">
        <v>10</v>
      </c>
    </row>
    <row r="664" spans="1:49" x14ac:dyDescent="0.2">
      <c r="A664" s="1">
        <v>44063</v>
      </c>
      <c r="B664">
        <f t="shared" si="93"/>
        <v>4.7</v>
      </c>
      <c r="C664" s="1" t="s">
        <v>59</v>
      </c>
      <c r="D664" s="1" t="s">
        <v>62</v>
      </c>
      <c r="E664" s="1" t="s">
        <v>65</v>
      </c>
      <c r="F664" s="1" t="s">
        <v>53</v>
      </c>
      <c r="G664">
        <v>2697</v>
      </c>
      <c r="H664" s="4">
        <v>45.75</v>
      </c>
      <c r="I664" s="4">
        <v>116</v>
      </c>
      <c r="J664" s="4">
        <v>44</v>
      </c>
      <c r="K664" s="4">
        <v>83.6</v>
      </c>
      <c r="L664" s="4">
        <v>161</v>
      </c>
      <c r="M664" s="4">
        <v>62</v>
      </c>
      <c r="N664" s="4">
        <v>84</v>
      </c>
      <c r="O664" s="4">
        <v>45</v>
      </c>
      <c r="P664" s="4">
        <v>27.4678126138339</v>
      </c>
      <c r="Q664" s="4">
        <v>48.714446143228002</v>
      </c>
      <c r="R664" s="4">
        <v>43</v>
      </c>
      <c r="S664" s="7" t="s">
        <v>32</v>
      </c>
      <c r="T664" s="4">
        <v>173952</v>
      </c>
      <c r="U664" s="4">
        <v>210079</v>
      </c>
      <c r="V664" s="4">
        <v>9683</v>
      </c>
      <c r="W664" s="4">
        <v>123600</v>
      </c>
      <c r="X664" s="4">
        <v>83079</v>
      </c>
      <c r="Y664" s="4">
        <v>127000</v>
      </c>
      <c r="Z664" s="4">
        <v>120000</v>
      </c>
      <c r="AA664" s="4">
        <v>3600</v>
      </c>
      <c r="AB664" s="4">
        <v>55361</v>
      </c>
      <c r="AC664" s="4">
        <v>115266</v>
      </c>
      <c r="AD664" s="4">
        <v>6590</v>
      </c>
      <c r="AE664" s="4">
        <v>6716</v>
      </c>
      <c r="AF664" s="4">
        <v>183933</v>
      </c>
      <c r="AG664" s="6">
        <v>1498</v>
      </c>
      <c r="AH664" s="6">
        <v>1470</v>
      </c>
      <c r="AI664" s="6">
        <v>28</v>
      </c>
      <c r="AL664" s="4">
        <v>98</v>
      </c>
      <c r="AM664" s="4">
        <v>910</v>
      </c>
      <c r="AN664" s="4">
        <v>76</v>
      </c>
      <c r="AV664" s="4">
        <v>8</v>
      </c>
      <c r="AW664" s="4">
        <v>16</v>
      </c>
    </row>
    <row r="665" spans="1:49" x14ac:dyDescent="0.2">
      <c r="A665" s="1">
        <v>44062</v>
      </c>
      <c r="B665">
        <f t="shared" si="93"/>
        <v>4.7</v>
      </c>
      <c r="C665" s="1" t="s">
        <v>59</v>
      </c>
      <c r="D665" s="1" t="s">
        <v>62</v>
      </c>
      <c r="E665" s="1" t="s">
        <v>65</v>
      </c>
      <c r="F665" s="1" t="s">
        <v>53</v>
      </c>
      <c r="G665">
        <v>2705</v>
      </c>
      <c r="H665" s="4">
        <v>73.66</v>
      </c>
      <c r="I665" s="4">
        <v>118</v>
      </c>
      <c r="J665" s="4">
        <v>43</v>
      </c>
      <c r="K665" s="4">
        <v>72.64</v>
      </c>
      <c r="L665" s="4">
        <v>78</v>
      </c>
      <c r="M665" s="4">
        <v>62</v>
      </c>
      <c r="N665" s="4">
        <v>71</v>
      </c>
      <c r="O665" s="4">
        <v>42</v>
      </c>
      <c r="P665" s="4">
        <v>27.345148335020401</v>
      </c>
      <c r="Q665" s="4">
        <v>43.797432514962203</v>
      </c>
      <c r="R665" s="4">
        <v>43</v>
      </c>
      <c r="S665" s="7" t="s">
        <v>32</v>
      </c>
      <c r="T665" s="4">
        <v>181469</v>
      </c>
      <c r="U665" s="4">
        <v>208079</v>
      </c>
      <c r="V665" s="4">
        <v>9076</v>
      </c>
      <c r="W665" s="4">
        <v>123600</v>
      </c>
      <c r="X665" s="4">
        <v>83079</v>
      </c>
      <c r="Y665" s="4">
        <v>125000</v>
      </c>
      <c r="Z665" s="4">
        <v>120000</v>
      </c>
      <c r="AA665" s="4">
        <v>3600</v>
      </c>
      <c r="AB665" s="4">
        <v>59626</v>
      </c>
      <c r="AC665" s="4">
        <v>116290</v>
      </c>
      <c r="AD665" s="4">
        <v>5838</v>
      </c>
      <c r="AE665" s="4">
        <v>8680</v>
      </c>
      <c r="AF665" s="4">
        <v>190434</v>
      </c>
      <c r="AG665" s="6">
        <v>1282</v>
      </c>
      <c r="AH665" s="6">
        <v>1258</v>
      </c>
      <c r="AI665" s="6">
        <v>24</v>
      </c>
      <c r="AL665" s="4">
        <v>113</v>
      </c>
      <c r="AM665" s="4">
        <v>925</v>
      </c>
      <c r="AN665" s="4">
        <v>70</v>
      </c>
      <c r="AV665" s="4">
        <v>4</v>
      </c>
      <c r="AW665" s="4">
        <v>13</v>
      </c>
    </row>
    <row r="666" spans="1:49" x14ac:dyDescent="0.2">
      <c r="A666" s="1">
        <v>44061</v>
      </c>
      <c r="B666">
        <f t="shared" si="93"/>
        <v>4.7</v>
      </c>
      <c r="C666" s="1" t="s">
        <v>59</v>
      </c>
      <c r="D666" s="1" t="s">
        <v>62</v>
      </c>
      <c r="E666" s="1" t="s">
        <v>65</v>
      </c>
      <c r="F666" s="1" t="s">
        <v>53</v>
      </c>
      <c r="G666">
        <v>2704</v>
      </c>
      <c r="H666" s="4">
        <v>73.709999999999994</v>
      </c>
      <c r="I666" s="4">
        <v>116</v>
      </c>
      <c r="J666" s="4">
        <v>44</v>
      </c>
      <c r="K666" s="4">
        <v>80.83</v>
      </c>
      <c r="L666" s="4">
        <v>135</v>
      </c>
      <c r="M666" s="4">
        <v>69</v>
      </c>
      <c r="N666" s="4">
        <v>79</v>
      </c>
      <c r="O666" s="4">
        <v>45</v>
      </c>
      <c r="P666" s="4">
        <v>27.526864557083702</v>
      </c>
      <c r="Q666" s="4">
        <v>46.712179346988997</v>
      </c>
      <c r="R666" s="4">
        <v>44</v>
      </c>
      <c r="S666" s="7" t="s">
        <v>32</v>
      </c>
      <c r="T666" s="4">
        <v>157642</v>
      </c>
      <c r="U666" s="4">
        <v>203402</v>
      </c>
      <c r="V666" s="4">
        <v>5816</v>
      </c>
      <c r="W666" s="4">
        <v>121100</v>
      </c>
      <c r="X666" s="4">
        <v>80402</v>
      </c>
      <c r="Y666" s="4">
        <v>123000</v>
      </c>
      <c r="Z666" s="4">
        <v>120000</v>
      </c>
      <c r="AA666" s="4">
        <v>1100</v>
      </c>
      <c r="AB666" s="4">
        <v>59427</v>
      </c>
      <c r="AC666" s="4">
        <v>93798</v>
      </c>
      <c r="AD666" s="4">
        <v>5575</v>
      </c>
      <c r="AE666" s="4">
        <v>4210</v>
      </c>
      <c r="AF666" s="4">
        <v>163010</v>
      </c>
      <c r="AG666" s="6">
        <v>1116</v>
      </c>
      <c r="AH666" s="6">
        <v>1099</v>
      </c>
      <c r="AI666" s="6">
        <v>17</v>
      </c>
      <c r="AL666" s="4">
        <v>128</v>
      </c>
      <c r="AM666" s="4">
        <v>954</v>
      </c>
      <c r="AN666" s="4">
        <v>73</v>
      </c>
      <c r="AV666" s="4">
        <v>9</v>
      </c>
      <c r="AW666" s="4">
        <v>15</v>
      </c>
    </row>
    <row r="667" spans="1:49" x14ac:dyDescent="0.2">
      <c r="A667" s="1">
        <v>44060</v>
      </c>
      <c r="B667">
        <f t="shared" si="93"/>
        <v>4.7</v>
      </c>
      <c r="C667" s="1" t="s">
        <v>59</v>
      </c>
      <c r="D667" s="1" t="s">
        <v>62</v>
      </c>
      <c r="E667" s="1" t="s">
        <v>65</v>
      </c>
      <c r="F667" s="1" t="s">
        <v>53</v>
      </c>
      <c r="G667">
        <v>2702</v>
      </c>
      <c r="H667" s="4">
        <v>74.69</v>
      </c>
      <c r="I667" s="4">
        <v>116</v>
      </c>
      <c r="J667" s="4">
        <v>42</v>
      </c>
      <c r="K667" s="4">
        <v>74.56</v>
      </c>
      <c r="L667" s="4">
        <v>127</v>
      </c>
      <c r="M667" s="4">
        <v>70</v>
      </c>
      <c r="N667" s="4">
        <v>78</v>
      </c>
      <c r="O667" s="4">
        <v>45</v>
      </c>
      <c r="P667" s="4">
        <v>27.496911757106599</v>
      </c>
      <c r="Q667" s="4">
        <v>45.818425386919003</v>
      </c>
      <c r="R667" s="4">
        <v>43</v>
      </c>
      <c r="S667" s="7" t="s">
        <v>32</v>
      </c>
      <c r="T667" s="4">
        <v>147527</v>
      </c>
      <c r="U667" s="4">
        <v>203308</v>
      </c>
      <c r="V667" s="4">
        <v>3910</v>
      </c>
      <c r="W667" s="4">
        <v>121100</v>
      </c>
      <c r="X667" s="4">
        <v>80308</v>
      </c>
      <c r="Y667" s="4">
        <v>123000</v>
      </c>
      <c r="Z667" s="4">
        <v>120000</v>
      </c>
      <c r="AA667" s="4">
        <v>1100</v>
      </c>
      <c r="AB667" s="4">
        <v>44720</v>
      </c>
      <c r="AC667" s="4">
        <v>95888</v>
      </c>
      <c r="AD667" s="4">
        <v>3910</v>
      </c>
      <c r="AE667" s="4">
        <v>5656</v>
      </c>
      <c r="AF667" s="4">
        <v>150174</v>
      </c>
      <c r="AG667" s="6">
        <v>1298</v>
      </c>
      <c r="AH667" s="6">
        <v>1286</v>
      </c>
      <c r="AI667" s="6">
        <v>12</v>
      </c>
      <c r="AL667" s="4">
        <v>95</v>
      </c>
      <c r="AM667" s="4">
        <v>983</v>
      </c>
      <c r="AN667" s="4">
        <v>73</v>
      </c>
      <c r="AV667" s="4">
        <v>12</v>
      </c>
      <c r="AW667" s="4">
        <v>21</v>
      </c>
    </row>
    <row r="668" spans="1:49" x14ac:dyDescent="0.2">
      <c r="A668" s="1">
        <v>44059</v>
      </c>
      <c r="B668">
        <v>1.82</v>
      </c>
      <c r="C668" s="1" t="s">
        <v>59</v>
      </c>
      <c r="D668" s="1" t="s">
        <v>62</v>
      </c>
      <c r="E668" s="1" t="s">
        <v>65</v>
      </c>
      <c r="F668" s="1" t="s">
        <v>53</v>
      </c>
      <c r="G668">
        <v>2696</v>
      </c>
      <c r="H668" s="4">
        <v>49.59</v>
      </c>
      <c r="I668" s="4">
        <v>104</v>
      </c>
      <c r="J668" s="4">
        <v>84</v>
      </c>
      <c r="K668" s="4">
        <v>62.22</v>
      </c>
      <c r="L668" s="4">
        <v>112</v>
      </c>
      <c r="M668" s="4">
        <v>56</v>
      </c>
      <c r="N668" s="4">
        <v>74</v>
      </c>
      <c r="O668" s="4">
        <v>53</v>
      </c>
      <c r="P668" s="4">
        <v>34.803143789374303</v>
      </c>
      <c r="Q668" s="4">
        <v>56.245847619707099</v>
      </c>
      <c r="R668" s="4">
        <v>43</v>
      </c>
      <c r="S668" s="7" t="s">
        <v>32</v>
      </c>
      <c r="T668" s="4">
        <v>168033</v>
      </c>
      <c r="U668" s="4">
        <v>204986</v>
      </c>
      <c r="V668" s="4">
        <v>1132</v>
      </c>
      <c r="W668" s="4">
        <v>121100</v>
      </c>
      <c r="X668" s="4">
        <v>80986</v>
      </c>
      <c r="Y668" s="4">
        <v>124000</v>
      </c>
      <c r="Z668" s="4">
        <v>120000</v>
      </c>
      <c r="AA668" s="4">
        <v>1100</v>
      </c>
      <c r="AB668" s="4">
        <v>42216</v>
      </c>
      <c r="AC668" s="4">
        <v>120040</v>
      </c>
      <c r="AD668" s="4">
        <v>1132</v>
      </c>
      <c r="AE668" s="4">
        <v>5888</v>
      </c>
      <c r="AF668" s="4">
        <v>169276</v>
      </c>
      <c r="AG668" s="6">
        <v>602</v>
      </c>
      <c r="AH668" s="6">
        <v>596</v>
      </c>
      <c r="AI668" s="6">
        <v>6</v>
      </c>
      <c r="AL668" s="4">
        <v>80</v>
      </c>
      <c r="AM668" s="4">
        <v>980</v>
      </c>
      <c r="AN668" s="4">
        <v>78</v>
      </c>
      <c r="AV668" s="4">
        <v>4</v>
      </c>
      <c r="AW668" s="4">
        <v>15</v>
      </c>
    </row>
    <row r="669" spans="1:49" x14ac:dyDescent="0.2">
      <c r="A669" s="1">
        <v>44058</v>
      </c>
      <c r="B669">
        <f>B668</f>
        <v>1.82</v>
      </c>
      <c r="C669" s="1" t="s">
        <v>59</v>
      </c>
      <c r="D669" s="1" t="s">
        <v>62</v>
      </c>
      <c r="E669" s="1" t="s">
        <v>65</v>
      </c>
      <c r="F669" s="1" t="s">
        <v>53</v>
      </c>
      <c r="G669">
        <v>2713</v>
      </c>
      <c r="H669" s="4">
        <v>52.55</v>
      </c>
      <c r="I669" s="4">
        <v>106</v>
      </c>
      <c r="J669" s="4">
        <v>79</v>
      </c>
      <c r="K669" s="4">
        <v>83.58</v>
      </c>
      <c r="L669" s="4">
        <v>81</v>
      </c>
      <c r="M669" s="4">
        <v>52</v>
      </c>
      <c r="N669" s="4">
        <v>75</v>
      </c>
      <c r="O669" s="4">
        <v>51</v>
      </c>
      <c r="P669" s="4">
        <v>31.196457791068301</v>
      </c>
      <c r="Q669" s="4">
        <v>51.584595709108797</v>
      </c>
      <c r="R669" s="4">
        <v>43</v>
      </c>
      <c r="S669" s="7" t="s">
        <v>32</v>
      </c>
      <c r="T669" s="4">
        <v>179241</v>
      </c>
      <c r="U669" s="4">
        <v>203227</v>
      </c>
      <c r="V669" s="4">
        <v>2790</v>
      </c>
      <c r="W669" s="4">
        <v>121100</v>
      </c>
      <c r="X669" s="4">
        <v>79227</v>
      </c>
      <c r="Y669" s="4">
        <v>124000</v>
      </c>
      <c r="Z669" s="4">
        <v>120000</v>
      </c>
      <c r="AA669" s="4">
        <v>1100</v>
      </c>
      <c r="AB669" s="4">
        <v>52233</v>
      </c>
      <c r="AC669" s="4">
        <v>122681</v>
      </c>
      <c r="AD669" s="4">
        <v>2481</v>
      </c>
      <c r="AE669" s="4">
        <v>5592</v>
      </c>
      <c r="AF669" s="4">
        <v>182987</v>
      </c>
      <c r="AG669" s="6">
        <v>714</v>
      </c>
      <c r="AH669" s="6">
        <v>710</v>
      </c>
      <c r="AI669" s="6">
        <v>4</v>
      </c>
      <c r="AL669" s="4">
        <v>99</v>
      </c>
      <c r="AM669" s="4">
        <v>975</v>
      </c>
      <c r="AN669" s="4">
        <v>76</v>
      </c>
      <c r="AV669" s="4">
        <v>12</v>
      </c>
      <c r="AW669" s="4">
        <v>23</v>
      </c>
    </row>
    <row r="670" spans="1:49" x14ac:dyDescent="0.2">
      <c r="A670" s="1">
        <v>44057</v>
      </c>
      <c r="B670">
        <f t="shared" ref="B670:B674" si="94">B669</f>
        <v>1.82</v>
      </c>
      <c r="C670" s="1" t="s">
        <v>59</v>
      </c>
      <c r="D670" s="1" t="s">
        <v>62</v>
      </c>
      <c r="E670" s="1" t="s">
        <v>65</v>
      </c>
      <c r="F670" s="1" t="s">
        <v>53</v>
      </c>
      <c r="G670">
        <v>2718</v>
      </c>
      <c r="H670" s="4">
        <v>41.14</v>
      </c>
      <c r="I670" s="4">
        <v>117</v>
      </c>
      <c r="J670" s="4">
        <v>44</v>
      </c>
      <c r="K670" s="4">
        <v>75.56</v>
      </c>
      <c r="L670" s="4">
        <v>100</v>
      </c>
      <c r="M670" s="4">
        <v>55</v>
      </c>
      <c r="N670" s="4">
        <v>79</v>
      </c>
      <c r="O670" s="4">
        <v>45</v>
      </c>
      <c r="P670" s="4">
        <v>26.0909438773751</v>
      </c>
      <c r="Q670" s="4">
        <v>43.919339875167402</v>
      </c>
      <c r="R670" s="4">
        <v>40</v>
      </c>
      <c r="S670" s="7" t="s">
        <v>32</v>
      </c>
      <c r="T670" s="4">
        <v>170244</v>
      </c>
      <c r="U670" s="4">
        <v>204942</v>
      </c>
      <c r="V670" s="4">
        <v>7516</v>
      </c>
      <c r="W670" s="4">
        <v>121100</v>
      </c>
      <c r="X670" s="4">
        <v>81942</v>
      </c>
      <c r="Y670" s="4">
        <v>123000</v>
      </c>
      <c r="Z670" s="4">
        <v>120000</v>
      </c>
      <c r="AA670" s="4">
        <v>1100</v>
      </c>
      <c r="AB670" s="4">
        <v>53832</v>
      </c>
      <c r="AC670" s="4">
        <v>113927</v>
      </c>
      <c r="AD670" s="4">
        <v>6630</v>
      </c>
      <c r="AE670" s="4">
        <v>3568</v>
      </c>
      <c r="AF670" s="4">
        <v>177957</v>
      </c>
      <c r="AG670" s="6">
        <v>1185</v>
      </c>
      <c r="AH670" s="6">
        <v>1164</v>
      </c>
      <c r="AI670" s="6">
        <v>21</v>
      </c>
      <c r="AL670" s="4">
        <v>100</v>
      </c>
      <c r="AM670" s="4">
        <v>996</v>
      </c>
      <c r="AN670" s="4">
        <v>73</v>
      </c>
      <c r="AV670" s="4">
        <v>7</v>
      </c>
      <c r="AW670" s="4">
        <v>18</v>
      </c>
    </row>
    <row r="671" spans="1:49" x14ac:dyDescent="0.2">
      <c r="A671" s="1">
        <v>44056</v>
      </c>
      <c r="B671">
        <f t="shared" si="94"/>
        <v>1.82</v>
      </c>
      <c r="C671" s="1" t="s">
        <v>59</v>
      </c>
      <c r="D671" s="1" t="s">
        <v>62</v>
      </c>
      <c r="E671" s="1" t="s">
        <v>68</v>
      </c>
      <c r="F671" s="1" t="s">
        <v>53</v>
      </c>
      <c r="G671">
        <v>2719</v>
      </c>
      <c r="H671" s="4">
        <v>32.97</v>
      </c>
      <c r="I671" s="4">
        <v>118</v>
      </c>
      <c r="J671" s="4">
        <v>42</v>
      </c>
      <c r="K671" s="4">
        <v>69.12</v>
      </c>
      <c r="L671" s="4">
        <v>123</v>
      </c>
      <c r="M671" s="4">
        <v>57</v>
      </c>
      <c r="N671" s="4">
        <v>80</v>
      </c>
      <c r="O671" s="4">
        <v>42</v>
      </c>
      <c r="P671" s="4">
        <v>24.526180135547602</v>
      </c>
      <c r="Q671" s="4">
        <v>42.974733280235696</v>
      </c>
      <c r="R671" s="4">
        <v>39</v>
      </c>
      <c r="S671" s="7" t="s">
        <v>32</v>
      </c>
      <c r="T671" s="4">
        <v>163529</v>
      </c>
      <c r="U671" s="4">
        <v>207046</v>
      </c>
      <c r="V671" s="4">
        <v>6387</v>
      </c>
      <c r="W671" s="4">
        <v>123600</v>
      </c>
      <c r="X671" s="4">
        <v>84046</v>
      </c>
      <c r="Y671" s="4">
        <v>123000</v>
      </c>
      <c r="Z671" s="4">
        <v>120000</v>
      </c>
      <c r="AA671" s="4">
        <v>3600</v>
      </c>
      <c r="AB671" s="4">
        <v>54444</v>
      </c>
      <c r="AC671" s="4">
        <v>104989</v>
      </c>
      <c r="AD671" s="4">
        <v>6315</v>
      </c>
      <c r="AE671" s="4">
        <v>4109</v>
      </c>
      <c r="AF671" s="4">
        <v>169857</v>
      </c>
      <c r="AG671" s="6">
        <v>1156</v>
      </c>
      <c r="AH671" s="6">
        <v>1149</v>
      </c>
      <c r="AI671" s="6">
        <v>7</v>
      </c>
      <c r="AL671" s="4">
        <v>129</v>
      </c>
      <c r="AM671" s="4">
        <v>1009</v>
      </c>
      <c r="AN671" s="4">
        <v>75</v>
      </c>
      <c r="AV671" s="4">
        <v>9</v>
      </c>
      <c r="AW671" s="4">
        <v>23</v>
      </c>
    </row>
    <row r="672" spans="1:49" x14ac:dyDescent="0.2">
      <c r="A672" s="1">
        <v>44055</v>
      </c>
      <c r="B672">
        <f t="shared" si="94"/>
        <v>1.82</v>
      </c>
      <c r="C672" s="1" t="s">
        <v>59</v>
      </c>
      <c r="D672" s="1" t="s">
        <v>62</v>
      </c>
      <c r="E672" s="1" t="s">
        <v>68</v>
      </c>
      <c r="F672" s="1" t="s">
        <v>53</v>
      </c>
      <c r="G672">
        <v>2724</v>
      </c>
      <c r="H672" s="4">
        <v>65.930000000000007</v>
      </c>
      <c r="I672" s="4">
        <v>117</v>
      </c>
      <c r="J672" s="4">
        <v>43</v>
      </c>
      <c r="K672" s="4">
        <v>74.17</v>
      </c>
      <c r="L672" s="4">
        <v>137</v>
      </c>
      <c r="M672" s="4">
        <v>64</v>
      </c>
      <c r="N672" s="4">
        <v>81</v>
      </c>
      <c r="O672" s="4">
        <v>43</v>
      </c>
      <c r="P672" s="4">
        <v>25.590174902327401</v>
      </c>
      <c r="Q672" s="4">
        <v>42.844700159942803</v>
      </c>
      <c r="R672" s="4">
        <v>41</v>
      </c>
      <c r="S672" s="7" t="s">
        <v>32</v>
      </c>
      <c r="T672" s="4">
        <v>176030</v>
      </c>
      <c r="U672" s="4">
        <v>210046</v>
      </c>
      <c r="V672" s="4">
        <v>7955</v>
      </c>
      <c r="W672" s="4">
        <v>123600</v>
      </c>
      <c r="X672" s="4">
        <v>84046</v>
      </c>
      <c r="Y672" s="4">
        <v>126000</v>
      </c>
      <c r="Z672" s="4">
        <v>120000</v>
      </c>
      <c r="AA672" s="4">
        <v>3600</v>
      </c>
      <c r="AB672" s="4">
        <v>58702</v>
      </c>
      <c r="AC672" s="4">
        <v>109281</v>
      </c>
      <c r="AD672" s="4">
        <v>6054</v>
      </c>
      <c r="AE672" s="4">
        <v>10407</v>
      </c>
      <c r="AF672" s="4">
        <v>184444</v>
      </c>
      <c r="AG672" s="6">
        <v>1242</v>
      </c>
      <c r="AH672" s="6">
        <v>1221</v>
      </c>
      <c r="AI672" s="6">
        <v>21</v>
      </c>
      <c r="AL672" s="4">
        <v>101</v>
      </c>
      <c r="AM672" s="4">
        <v>1005</v>
      </c>
      <c r="AN672" s="4">
        <v>80</v>
      </c>
      <c r="AV672" s="4">
        <v>7</v>
      </c>
      <c r="AW672" s="4">
        <v>24</v>
      </c>
    </row>
    <row r="673" spans="1:49" x14ac:dyDescent="0.2">
      <c r="A673" s="1">
        <v>44054</v>
      </c>
      <c r="B673">
        <f t="shared" si="94"/>
        <v>1.82</v>
      </c>
      <c r="C673" s="1" t="s">
        <v>59</v>
      </c>
      <c r="D673" s="1" t="s">
        <v>62</v>
      </c>
      <c r="E673" s="1" t="s">
        <v>68</v>
      </c>
      <c r="F673" s="1" t="s">
        <v>53</v>
      </c>
      <c r="G673">
        <v>2723</v>
      </c>
      <c r="H673" s="4">
        <v>59.89</v>
      </c>
      <c r="I673" s="4">
        <v>116</v>
      </c>
      <c r="J673" s="4">
        <v>42</v>
      </c>
      <c r="K673" s="4">
        <v>75.66</v>
      </c>
      <c r="L673" s="4">
        <v>146</v>
      </c>
      <c r="M673" s="4">
        <v>65</v>
      </c>
      <c r="N673" s="4">
        <v>81</v>
      </c>
      <c r="O673" s="4">
        <v>44</v>
      </c>
      <c r="P673" s="4">
        <v>25.681050910419501</v>
      </c>
      <c r="Q673" s="4">
        <v>43.193136608605698</v>
      </c>
      <c r="R673" s="4">
        <v>42</v>
      </c>
      <c r="S673" s="7" t="s">
        <v>32</v>
      </c>
      <c r="T673" s="4">
        <v>158010</v>
      </c>
      <c r="U673" s="4">
        <v>210046</v>
      </c>
      <c r="V673" s="4">
        <v>8753</v>
      </c>
      <c r="W673" s="4">
        <v>121100</v>
      </c>
      <c r="X673" s="4">
        <v>84046</v>
      </c>
      <c r="Y673" s="4">
        <v>126000</v>
      </c>
      <c r="Z673" s="4">
        <v>120000</v>
      </c>
      <c r="AA673" s="4">
        <v>1100</v>
      </c>
      <c r="AB673" s="4">
        <v>56755</v>
      </c>
      <c r="AC673" s="4">
        <v>90779</v>
      </c>
      <c r="AD673" s="4">
        <v>5978</v>
      </c>
      <c r="AE673" s="4">
        <v>12799</v>
      </c>
      <c r="AF673" s="4">
        <v>166311</v>
      </c>
      <c r="AG673" s="6">
        <v>1378</v>
      </c>
      <c r="AH673" s="6">
        <v>1348</v>
      </c>
      <c r="AI673" s="6">
        <v>30</v>
      </c>
      <c r="AL673" s="4">
        <v>114</v>
      </c>
      <c r="AM673" s="4">
        <v>1040</v>
      </c>
      <c r="AN673" s="4">
        <v>73</v>
      </c>
      <c r="AV673" s="4">
        <v>10</v>
      </c>
      <c r="AW673" s="4">
        <v>20</v>
      </c>
    </row>
    <row r="674" spans="1:49" x14ac:dyDescent="0.2">
      <c r="A674" s="1">
        <v>44053</v>
      </c>
      <c r="B674">
        <f t="shared" si="94"/>
        <v>1.82</v>
      </c>
      <c r="C674" s="1" t="s">
        <v>59</v>
      </c>
      <c r="D674" s="1" t="s">
        <v>62</v>
      </c>
      <c r="E674" s="1" t="s">
        <v>68</v>
      </c>
      <c r="F674" s="1" t="s">
        <v>53</v>
      </c>
      <c r="G674">
        <v>2741</v>
      </c>
      <c r="H674" s="4">
        <v>60.73</v>
      </c>
      <c r="I674" s="4">
        <v>115</v>
      </c>
      <c r="J674" s="4">
        <v>42</v>
      </c>
      <c r="K674" s="4">
        <v>74.2</v>
      </c>
      <c r="L674" s="4">
        <v>159</v>
      </c>
      <c r="M674" s="4">
        <v>68</v>
      </c>
      <c r="N674" s="4">
        <v>84</v>
      </c>
      <c r="O674" s="4">
        <v>45</v>
      </c>
      <c r="P674" s="4">
        <v>25.833710965353202</v>
      </c>
      <c r="Q674" s="4">
        <v>44.070230122713603</v>
      </c>
      <c r="R674" s="4">
        <v>42</v>
      </c>
      <c r="S674" s="7" t="s">
        <v>32</v>
      </c>
      <c r="T674" s="4">
        <v>153932</v>
      </c>
      <c r="U674" s="4">
        <v>215952</v>
      </c>
      <c r="V674" s="4">
        <v>11563</v>
      </c>
      <c r="W674" s="4">
        <v>121100</v>
      </c>
      <c r="X674" s="4">
        <v>83952</v>
      </c>
      <c r="Y674" s="4">
        <v>126000</v>
      </c>
      <c r="Z674" s="4">
        <v>120000</v>
      </c>
      <c r="AA674" s="4">
        <v>7100</v>
      </c>
      <c r="AB674" s="4">
        <v>44983</v>
      </c>
      <c r="AC674" s="4">
        <v>90844</v>
      </c>
      <c r="AD674" s="4">
        <v>3961</v>
      </c>
      <c r="AE674" s="4">
        <v>24273</v>
      </c>
      <c r="AF674" s="4">
        <v>164061</v>
      </c>
      <c r="AG674" s="6">
        <v>1499</v>
      </c>
      <c r="AH674" s="6">
        <v>1482</v>
      </c>
      <c r="AI674" s="6">
        <v>17</v>
      </c>
      <c r="AL674" s="4">
        <v>86</v>
      </c>
      <c r="AM674" s="4">
        <v>1088</v>
      </c>
      <c r="AN674" s="4">
        <v>70</v>
      </c>
      <c r="AV674" s="4">
        <v>13</v>
      </c>
      <c r="AW674" s="4">
        <v>25</v>
      </c>
    </row>
    <row r="675" spans="1:49" x14ac:dyDescent="0.2">
      <c r="A675" s="1">
        <v>44052</v>
      </c>
      <c r="B675">
        <v>-1.82</v>
      </c>
      <c r="C675" s="1" t="s">
        <v>59</v>
      </c>
      <c r="D675" s="1" t="s">
        <v>62</v>
      </c>
      <c r="E675" s="1" t="s">
        <v>68</v>
      </c>
      <c r="F675" s="1" t="s">
        <v>53</v>
      </c>
      <c r="G675">
        <v>2677</v>
      </c>
      <c r="H675" s="4">
        <v>44.91</v>
      </c>
      <c r="I675" s="4">
        <v>102</v>
      </c>
      <c r="J675" s="4">
        <v>85</v>
      </c>
      <c r="K675" s="4">
        <v>64.89</v>
      </c>
      <c r="L675" s="4">
        <v>145</v>
      </c>
      <c r="M675" s="4">
        <v>55</v>
      </c>
      <c r="N675" s="4">
        <v>77</v>
      </c>
      <c r="O675" s="4">
        <v>54</v>
      </c>
      <c r="P675" s="4">
        <v>32.781761096632501</v>
      </c>
      <c r="Q675" s="4">
        <v>56.9505119026839</v>
      </c>
      <c r="R675" s="4">
        <v>44</v>
      </c>
      <c r="S675" s="7" t="s">
        <v>32</v>
      </c>
      <c r="T675" s="4">
        <v>162689</v>
      </c>
      <c r="U675" s="4">
        <v>215989</v>
      </c>
      <c r="V675" s="4">
        <v>3217</v>
      </c>
      <c r="W675" s="4">
        <v>121100</v>
      </c>
      <c r="X675" s="4">
        <v>80989</v>
      </c>
      <c r="Y675" s="4">
        <v>126000</v>
      </c>
      <c r="Z675" s="4">
        <v>120000</v>
      </c>
      <c r="AA675" s="4">
        <v>10100</v>
      </c>
      <c r="AB675" s="4">
        <v>43726</v>
      </c>
      <c r="AC675" s="4">
        <v>109488</v>
      </c>
      <c r="AD675" s="4">
        <v>1246</v>
      </c>
      <c r="AE675" s="4">
        <v>11747</v>
      </c>
      <c r="AF675" s="4">
        <v>166207</v>
      </c>
      <c r="AG675" s="6">
        <v>627</v>
      </c>
      <c r="AH675" s="6">
        <v>622</v>
      </c>
      <c r="AI675" s="6">
        <v>5</v>
      </c>
      <c r="AL675" s="4">
        <v>106</v>
      </c>
      <c r="AM675" s="4">
        <v>984</v>
      </c>
      <c r="AN675" s="4">
        <v>65</v>
      </c>
      <c r="AV675" s="4">
        <v>9</v>
      </c>
      <c r="AW675" s="4">
        <v>19</v>
      </c>
    </row>
    <row r="676" spans="1:49" x14ac:dyDescent="0.2">
      <c r="A676" s="1">
        <v>44051</v>
      </c>
      <c r="B676">
        <f>B675</f>
        <v>-1.82</v>
      </c>
      <c r="C676" s="1" t="s">
        <v>59</v>
      </c>
      <c r="D676" s="1" t="s">
        <v>62</v>
      </c>
      <c r="E676" s="1" t="s">
        <v>68</v>
      </c>
      <c r="F676" s="1" t="s">
        <v>53</v>
      </c>
      <c r="G676">
        <v>2606</v>
      </c>
      <c r="H676" s="4">
        <v>48.22</v>
      </c>
      <c r="I676" s="4">
        <v>104</v>
      </c>
      <c r="J676" s="4">
        <v>80</v>
      </c>
      <c r="K676" s="4">
        <v>88.36</v>
      </c>
      <c r="L676" s="4">
        <v>123</v>
      </c>
      <c r="M676" s="4">
        <v>51</v>
      </c>
      <c r="N676" s="4">
        <v>78</v>
      </c>
      <c r="O676" s="4">
        <v>52</v>
      </c>
      <c r="P676" s="4">
        <v>29.2314889555132</v>
      </c>
      <c r="Q676" s="4">
        <v>51.453399375087201</v>
      </c>
      <c r="R676" s="4">
        <v>43</v>
      </c>
      <c r="S676" s="7" t="s">
        <v>32</v>
      </c>
      <c r="T676" s="4">
        <v>159760</v>
      </c>
      <c r="U676" s="4">
        <v>214227</v>
      </c>
      <c r="V676" s="4">
        <v>4525</v>
      </c>
      <c r="W676" s="4">
        <v>121100</v>
      </c>
      <c r="X676" s="4">
        <v>79227</v>
      </c>
      <c r="Y676" s="4">
        <v>126000</v>
      </c>
      <c r="Z676" s="4">
        <v>120000</v>
      </c>
      <c r="AA676" s="4">
        <v>10100</v>
      </c>
      <c r="AB676" s="4">
        <v>49344</v>
      </c>
      <c r="AC676" s="4">
        <v>97482</v>
      </c>
      <c r="AD676" s="4">
        <v>2598</v>
      </c>
      <c r="AE676" s="4">
        <v>15752</v>
      </c>
      <c r="AF676" s="4">
        <v>165176</v>
      </c>
      <c r="AG676" s="6">
        <v>710</v>
      </c>
      <c r="AH676" s="6">
        <v>704</v>
      </c>
      <c r="AI676" s="6">
        <v>6</v>
      </c>
      <c r="AL676" s="4">
        <v>140</v>
      </c>
      <c r="AM676" s="4">
        <v>1028</v>
      </c>
      <c r="AN676" s="4">
        <v>62</v>
      </c>
      <c r="AV676" s="4">
        <v>14</v>
      </c>
      <c r="AW676" s="4">
        <v>22</v>
      </c>
    </row>
    <row r="677" spans="1:49" x14ac:dyDescent="0.2">
      <c r="A677" s="1">
        <v>44050</v>
      </c>
      <c r="B677">
        <f t="shared" ref="B677:B681" si="95">B676</f>
        <v>-1.82</v>
      </c>
      <c r="C677" s="1" t="s">
        <v>59</v>
      </c>
      <c r="D677" s="1" t="s">
        <v>62</v>
      </c>
      <c r="E677" s="1" t="s">
        <v>68</v>
      </c>
      <c r="F677" s="1" t="s">
        <v>53</v>
      </c>
      <c r="G677">
        <v>2547</v>
      </c>
      <c r="H677" s="4">
        <v>41.55</v>
      </c>
      <c r="I677" s="4">
        <v>116</v>
      </c>
      <c r="J677" s="4">
        <v>44</v>
      </c>
      <c r="K677" s="4">
        <v>79.319999999999993</v>
      </c>
      <c r="L677" s="4">
        <v>144</v>
      </c>
      <c r="M677" s="4">
        <v>54</v>
      </c>
      <c r="N677" s="4">
        <v>82</v>
      </c>
      <c r="O677" s="4">
        <v>45</v>
      </c>
      <c r="P677" s="4">
        <v>25.0963506904356</v>
      </c>
      <c r="Q677" s="4">
        <v>43.1573844405454</v>
      </c>
      <c r="R677" s="4">
        <v>41</v>
      </c>
      <c r="S677" s="7" t="s">
        <v>32</v>
      </c>
      <c r="T677" s="4">
        <v>173795</v>
      </c>
      <c r="U677" s="4">
        <v>216942</v>
      </c>
      <c r="V677" s="4">
        <v>8651</v>
      </c>
      <c r="W677" s="4">
        <v>121100</v>
      </c>
      <c r="X677" s="4">
        <v>81942</v>
      </c>
      <c r="Y677" s="4">
        <v>126000</v>
      </c>
      <c r="Z677" s="4">
        <v>120000</v>
      </c>
      <c r="AA677" s="4">
        <v>10100</v>
      </c>
      <c r="AB677" s="4">
        <v>54094</v>
      </c>
      <c r="AC677" s="4">
        <v>102046</v>
      </c>
      <c r="AD677" s="4">
        <v>5614</v>
      </c>
      <c r="AE677" s="4">
        <v>20110</v>
      </c>
      <c r="AF677" s="4">
        <v>181864</v>
      </c>
      <c r="AG677" s="6">
        <v>973</v>
      </c>
      <c r="AH677" s="6">
        <v>958</v>
      </c>
      <c r="AI677" s="6">
        <v>15</v>
      </c>
      <c r="AL677" s="4">
        <v>117</v>
      </c>
      <c r="AM677" s="4">
        <v>1095</v>
      </c>
      <c r="AN677" s="4">
        <v>67</v>
      </c>
      <c r="AV677" s="4">
        <v>13</v>
      </c>
      <c r="AW677" s="4">
        <v>24</v>
      </c>
    </row>
    <row r="678" spans="1:49" x14ac:dyDescent="0.2">
      <c r="A678" s="1">
        <v>44049</v>
      </c>
      <c r="B678">
        <f t="shared" si="95"/>
        <v>-1.82</v>
      </c>
      <c r="C678" s="1" t="s">
        <v>59</v>
      </c>
      <c r="D678" s="1" t="s">
        <v>62</v>
      </c>
      <c r="E678" s="1" t="s">
        <v>68</v>
      </c>
      <c r="F678" s="1" t="s">
        <v>53</v>
      </c>
      <c r="G678">
        <v>2485</v>
      </c>
      <c r="H678" s="4">
        <v>32.700000000000003</v>
      </c>
      <c r="I678" s="4">
        <v>117</v>
      </c>
      <c r="J678" s="4">
        <v>42</v>
      </c>
      <c r="K678" s="4">
        <v>76.13</v>
      </c>
      <c r="L678" s="4">
        <v>157</v>
      </c>
      <c r="M678" s="4">
        <v>58</v>
      </c>
      <c r="N678" s="4">
        <v>83</v>
      </c>
      <c r="O678" s="4">
        <v>43</v>
      </c>
      <c r="P678" s="4">
        <v>24.863774688993001</v>
      </c>
      <c r="Q678" s="4">
        <v>43.454452694451398</v>
      </c>
      <c r="R678" s="4">
        <v>39</v>
      </c>
      <c r="S678" s="7" t="s">
        <v>32</v>
      </c>
      <c r="T678" s="4">
        <v>174453</v>
      </c>
      <c r="U678" s="4">
        <v>219631</v>
      </c>
      <c r="V678" s="4">
        <v>11147</v>
      </c>
      <c r="W678" s="4">
        <v>123600</v>
      </c>
      <c r="X678" s="4">
        <v>84631</v>
      </c>
      <c r="Y678" s="4">
        <v>126000</v>
      </c>
      <c r="Z678" s="4">
        <v>120000</v>
      </c>
      <c r="AA678" s="4">
        <v>12600</v>
      </c>
      <c r="AB678" s="4">
        <v>59113</v>
      </c>
      <c r="AC678" s="4">
        <v>103600</v>
      </c>
      <c r="AD678" s="4">
        <v>6272</v>
      </c>
      <c r="AE678" s="4">
        <v>16995</v>
      </c>
      <c r="AF678" s="4">
        <v>185980</v>
      </c>
      <c r="AG678" s="6">
        <v>1105</v>
      </c>
      <c r="AH678" s="6">
        <v>1089</v>
      </c>
      <c r="AI678" s="6">
        <v>16</v>
      </c>
      <c r="AL678" s="4">
        <v>100</v>
      </c>
      <c r="AM678" s="4">
        <v>1156</v>
      </c>
      <c r="AN678" s="4">
        <v>69</v>
      </c>
      <c r="AV678" s="4">
        <v>9</v>
      </c>
      <c r="AW678" s="4">
        <v>21</v>
      </c>
    </row>
    <row r="679" spans="1:49" x14ac:dyDescent="0.2">
      <c r="A679" s="1">
        <v>44048</v>
      </c>
      <c r="B679">
        <f t="shared" si="95"/>
        <v>-1.82</v>
      </c>
      <c r="C679" s="1" t="s">
        <v>59</v>
      </c>
      <c r="D679" s="1" t="s">
        <v>62</v>
      </c>
      <c r="E679" s="1" t="s">
        <v>68</v>
      </c>
      <c r="F679" s="1" t="s">
        <v>53</v>
      </c>
      <c r="G679">
        <v>2384</v>
      </c>
      <c r="H679" s="4">
        <v>52.52</v>
      </c>
      <c r="I679" s="4">
        <v>117</v>
      </c>
      <c r="J679" s="4">
        <v>43</v>
      </c>
      <c r="K679" s="4">
        <v>79.27</v>
      </c>
      <c r="L679" s="4">
        <v>155</v>
      </c>
      <c r="M679" s="4">
        <v>64</v>
      </c>
      <c r="N679" s="4">
        <v>80</v>
      </c>
      <c r="O679" s="4">
        <v>44</v>
      </c>
      <c r="P679" s="4">
        <v>25.649859573198501</v>
      </c>
      <c r="Q679" s="4">
        <v>44.320640410528803</v>
      </c>
      <c r="R679" s="4">
        <v>40</v>
      </c>
      <c r="S679" s="7" t="s">
        <v>32</v>
      </c>
      <c r="T679" s="4">
        <v>160925</v>
      </c>
      <c r="U679" s="4">
        <v>217631</v>
      </c>
      <c r="V679" s="4">
        <v>13408</v>
      </c>
      <c r="W679" s="4">
        <v>123600</v>
      </c>
      <c r="X679" s="4">
        <v>84631</v>
      </c>
      <c r="Y679" s="4">
        <v>124000</v>
      </c>
      <c r="Z679" s="4">
        <v>120000</v>
      </c>
      <c r="AA679" s="4">
        <v>12600</v>
      </c>
      <c r="AB679" s="4">
        <v>59374</v>
      </c>
      <c r="AC679" s="4">
        <v>93177</v>
      </c>
      <c r="AD679" s="4">
        <v>6564</v>
      </c>
      <c r="AE679" s="4">
        <v>15404</v>
      </c>
      <c r="AF679" s="4">
        <v>174519</v>
      </c>
      <c r="AG679" s="6">
        <v>1092</v>
      </c>
      <c r="AH679" s="6">
        <v>1067</v>
      </c>
      <c r="AI679" s="6">
        <v>25</v>
      </c>
      <c r="AL679" s="4">
        <v>138</v>
      </c>
      <c r="AM679" s="4">
        <v>1201</v>
      </c>
      <c r="AN679" s="4">
        <v>73</v>
      </c>
      <c r="AV679" s="4">
        <v>6</v>
      </c>
      <c r="AW679" s="4">
        <v>13</v>
      </c>
    </row>
    <row r="680" spans="1:49" x14ac:dyDescent="0.2">
      <c r="A680" s="1">
        <v>44047</v>
      </c>
      <c r="B680">
        <f t="shared" si="95"/>
        <v>-1.82</v>
      </c>
      <c r="C680" s="1" t="s">
        <v>59</v>
      </c>
      <c r="D680" s="1" t="s">
        <v>62</v>
      </c>
      <c r="E680" s="1" t="s">
        <v>68</v>
      </c>
      <c r="F680" s="1" t="s">
        <v>53</v>
      </c>
      <c r="G680">
        <v>2308</v>
      </c>
      <c r="H680" s="4">
        <v>45.35</v>
      </c>
      <c r="I680" s="4">
        <v>117</v>
      </c>
      <c r="J680" s="4">
        <v>42</v>
      </c>
      <c r="K680" s="4">
        <v>76.150000000000006</v>
      </c>
      <c r="L680" s="4">
        <v>154</v>
      </c>
      <c r="M680" s="4">
        <v>64</v>
      </c>
      <c r="N680" s="4">
        <v>81</v>
      </c>
      <c r="O680" s="4">
        <v>44</v>
      </c>
      <c r="P680" s="4">
        <v>25.034245387548101</v>
      </c>
      <c r="Q680" s="4">
        <v>43.990975457269201</v>
      </c>
      <c r="R680" s="4">
        <v>39</v>
      </c>
      <c r="S680" s="7" t="s">
        <v>32</v>
      </c>
      <c r="T680" s="4">
        <v>150573</v>
      </c>
      <c r="U680" s="4">
        <v>217631</v>
      </c>
      <c r="V680" s="4">
        <v>13157</v>
      </c>
      <c r="W680" s="4">
        <v>121100</v>
      </c>
      <c r="X680" s="4">
        <v>84631</v>
      </c>
      <c r="Y680" s="4">
        <v>124000</v>
      </c>
      <c r="Z680" s="4">
        <v>120000</v>
      </c>
      <c r="AA680" s="4">
        <v>10100</v>
      </c>
      <c r="AB680" s="4">
        <v>56731</v>
      </c>
      <c r="AC680" s="4">
        <v>84014</v>
      </c>
      <c r="AD680" s="4">
        <v>6350</v>
      </c>
      <c r="AE680" s="4">
        <v>16327</v>
      </c>
      <c r="AF680" s="4">
        <v>163422</v>
      </c>
      <c r="AG680" s="6">
        <v>1065</v>
      </c>
      <c r="AH680" s="6">
        <v>1037</v>
      </c>
      <c r="AI680" s="6">
        <v>28</v>
      </c>
      <c r="AL680" s="4">
        <v>125</v>
      </c>
      <c r="AM680" s="4">
        <v>1217</v>
      </c>
      <c r="AN680" s="4">
        <v>76</v>
      </c>
      <c r="AV680" s="4">
        <v>14</v>
      </c>
      <c r="AW680" s="4">
        <v>27</v>
      </c>
    </row>
    <row r="681" spans="1:49" x14ac:dyDescent="0.2">
      <c r="A681" s="1">
        <v>44046</v>
      </c>
      <c r="B681">
        <f t="shared" si="95"/>
        <v>-1.82</v>
      </c>
      <c r="C681" s="1" t="s">
        <v>59</v>
      </c>
      <c r="D681" s="1" t="s">
        <v>62</v>
      </c>
      <c r="E681" s="1" t="s">
        <v>68</v>
      </c>
      <c r="F681" s="1" t="s">
        <v>53</v>
      </c>
      <c r="G681">
        <v>2224</v>
      </c>
      <c r="H681" s="4">
        <v>43.16</v>
      </c>
      <c r="I681" s="4">
        <v>116</v>
      </c>
      <c r="J681" s="4">
        <v>42</v>
      </c>
      <c r="K681" s="4">
        <v>72.239999999999995</v>
      </c>
      <c r="L681" s="4">
        <v>161</v>
      </c>
      <c r="M681" s="4">
        <v>65</v>
      </c>
      <c r="N681" s="4">
        <v>83</v>
      </c>
      <c r="O681" s="4">
        <v>44</v>
      </c>
      <c r="P681" s="4">
        <v>25.067552959575099</v>
      </c>
      <c r="Q681" s="4">
        <v>44.025379584063401</v>
      </c>
      <c r="R681" s="4">
        <v>39</v>
      </c>
      <c r="S681" s="7" t="s">
        <v>32</v>
      </c>
      <c r="T681" s="4">
        <v>145974</v>
      </c>
      <c r="U681" s="4">
        <v>217497</v>
      </c>
      <c r="V681" s="4">
        <v>13667</v>
      </c>
      <c r="W681" s="4">
        <v>121100</v>
      </c>
      <c r="X681" s="4">
        <v>84497</v>
      </c>
      <c r="Y681" s="4">
        <v>124000</v>
      </c>
      <c r="Z681" s="4">
        <v>120000</v>
      </c>
      <c r="AA681" s="4">
        <v>10100</v>
      </c>
      <c r="AB681" s="4">
        <v>44861</v>
      </c>
      <c r="AC681" s="4">
        <v>78430</v>
      </c>
      <c r="AD681" s="4">
        <v>4537</v>
      </c>
      <c r="AE681" s="4">
        <v>30838</v>
      </c>
      <c r="AF681" s="4">
        <v>158666</v>
      </c>
      <c r="AG681" s="6">
        <v>1060</v>
      </c>
      <c r="AH681" s="6">
        <v>1042</v>
      </c>
      <c r="AI681" s="6">
        <v>18</v>
      </c>
      <c r="AL681" s="4">
        <v>109</v>
      </c>
      <c r="AM681" s="4">
        <v>1252</v>
      </c>
      <c r="AN681" s="4">
        <v>77</v>
      </c>
      <c r="AV681" s="4">
        <v>16</v>
      </c>
      <c r="AW681" s="4">
        <v>23</v>
      </c>
    </row>
    <row r="682" spans="1:49" x14ac:dyDescent="0.2">
      <c r="A682" s="1">
        <v>44045</v>
      </c>
      <c r="B682">
        <v>-1.05</v>
      </c>
      <c r="C682" s="1" t="s">
        <v>59</v>
      </c>
      <c r="D682" s="1" t="s">
        <v>62</v>
      </c>
      <c r="E682" s="1" t="s">
        <v>68</v>
      </c>
      <c r="F682" s="1" t="s">
        <v>53</v>
      </c>
      <c r="G682">
        <v>2208</v>
      </c>
      <c r="H682" s="4">
        <v>47.02</v>
      </c>
      <c r="I682" s="4">
        <v>103</v>
      </c>
      <c r="J682" s="4">
        <v>85</v>
      </c>
      <c r="K682" s="4">
        <v>66.38</v>
      </c>
      <c r="L682" s="4">
        <v>149</v>
      </c>
      <c r="M682" s="4">
        <v>56</v>
      </c>
      <c r="N682" s="4">
        <v>77</v>
      </c>
      <c r="O682" s="4">
        <v>55</v>
      </c>
      <c r="P682" s="4">
        <v>34.080482649648097</v>
      </c>
      <c r="Q682" s="4">
        <v>56.658756837809399</v>
      </c>
      <c r="R682" s="4">
        <v>43</v>
      </c>
      <c r="S682" s="7" t="s">
        <v>32</v>
      </c>
      <c r="T682" s="4">
        <v>145511</v>
      </c>
      <c r="U682" s="4">
        <v>217313</v>
      </c>
      <c r="V682" s="4">
        <v>18218</v>
      </c>
      <c r="W682" s="4">
        <v>121100</v>
      </c>
      <c r="X682" s="4">
        <v>81313</v>
      </c>
      <c r="Y682" s="4">
        <v>127000</v>
      </c>
      <c r="Z682" s="4">
        <v>120000</v>
      </c>
      <c r="AA682" s="4">
        <v>10100</v>
      </c>
      <c r="AB682" s="4">
        <v>44562</v>
      </c>
      <c r="AC682" s="4">
        <v>79526</v>
      </c>
      <c r="AD682" s="4">
        <v>1201</v>
      </c>
      <c r="AE682" s="4">
        <v>38497</v>
      </c>
      <c r="AF682" s="4">
        <v>163786</v>
      </c>
      <c r="AG682" s="6">
        <v>564</v>
      </c>
      <c r="AH682" s="6">
        <v>558</v>
      </c>
      <c r="AI682" s="6">
        <v>6</v>
      </c>
      <c r="AL682" s="4">
        <v>93</v>
      </c>
      <c r="AM682" s="4">
        <v>1255</v>
      </c>
      <c r="AN682" s="4">
        <v>85</v>
      </c>
      <c r="AV682" s="4">
        <v>10</v>
      </c>
      <c r="AW682" s="4">
        <v>17</v>
      </c>
    </row>
    <row r="683" spans="1:49" x14ac:dyDescent="0.2">
      <c r="A683" s="1">
        <v>44044</v>
      </c>
      <c r="B683">
        <f>B682</f>
        <v>-1.05</v>
      </c>
      <c r="C683" s="1" t="s">
        <v>59</v>
      </c>
      <c r="D683" s="1" t="s">
        <v>62</v>
      </c>
      <c r="E683" s="1" t="s">
        <v>68</v>
      </c>
      <c r="F683" s="1" t="s">
        <v>53</v>
      </c>
      <c r="G683">
        <v>2204</v>
      </c>
      <c r="H683" s="4">
        <v>48.34</v>
      </c>
      <c r="I683" s="4">
        <v>104</v>
      </c>
      <c r="J683" s="4">
        <v>81</v>
      </c>
      <c r="K683" s="4">
        <v>88.94</v>
      </c>
      <c r="L683" s="4">
        <v>126</v>
      </c>
      <c r="M683" s="4">
        <v>51</v>
      </c>
      <c r="N683" s="4">
        <v>79</v>
      </c>
      <c r="O683" s="4">
        <v>54</v>
      </c>
      <c r="P683" s="4">
        <v>30.574071027182999</v>
      </c>
      <c r="Q683" s="4">
        <v>51.4578850849772</v>
      </c>
      <c r="R683" s="4">
        <v>43</v>
      </c>
      <c r="S683" s="7" t="s">
        <v>32</v>
      </c>
      <c r="T683" s="4">
        <v>145769</v>
      </c>
      <c r="U683" s="4">
        <v>215212</v>
      </c>
      <c r="V683" s="4">
        <v>16077</v>
      </c>
      <c r="W683" s="4">
        <v>121100</v>
      </c>
      <c r="X683" s="4">
        <v>79212</v>
      </c>
      <c r="Y683" s="4">
        <v>127000</v>
      </c>
      <c r="Z683" s="4">
        <v>120000</v>
      </c>
      <c r="AA683" s="4">
        <v>10100</v>
      </c>
      <c r="AB683" s="4">
        <v>46229</v>
      </c>
      <c r="AC683" s="4">
        <v>84770</v>
      </c>
      <c r="AD683" s="4">
        <v>2628</v>
      </c>
      <c r="AE683" s="4">
        <v>28461</v>
      </c>
      <c r="AF683" s="4">
        <v>162088</v>
      </c>
      <c r="AG683" s="6">
        <v>559</v>
      </c>
      <c r="AH683" s="6">
        <v>552</v>
      </c>
      <c r="AI683" s="6">
        <v>7</v>
      </c>
      <c r="AL683" s="4">
        <v>128</v>
      </c>
      <c r="AM683" s="4">
        <v>1291</v>
      </c>
      <c r="AN683" s="4">
        <v>92</v>
      </c>
      <c r="AV683" s="4">
        <v>11</v>
      </c>
      <c r="AW683" s="4">
        <v>20</v>
      </c>
    </row>
    <row r="684" spans="1:49" x14ac:dyDescent="0.2">
      <c r="A684" s="1">
        <v>44043</v>
      </c>
      <c r="B684">
        <f t="shared" ref="B684:B688" si="96">B683</f>
        <v>-1.05</v>
      </c>
      <c r="C684" s="1" t="s">
        <v>59</v>
      </c>
      <c r="D684" s="1" t="s">
        <v>62</v>
      </c>
      <c r="E684" s="1" t="s">
        <v>68</v>
      </c>
      <c r="F684" s="1" t="s">
        <v>53</v>
      </c>
      <c r="G684">
        <v>2195</v>
      </c>
      <c r="H684" s="4">
        <v>43.1</v>
      </c>
      <c r="I684" s="4">
        <v>115</v>
      </c>
      <c r="J684" s="4">
        <v>43</v>
      </c>
      <c r="K684" s="4">
        <v>78.69</v>
      </c>
      <c r="L684" s="4">
        <v>155</v>
      </c>
      <c r="M684" s="4">
        <v>54</v>
      </c>
      <c r="N684" s="4">
        <v>82</v>
      </c>
      <c r="O684" s="4">
        <v>46</v>
      </c>
      <c r="P684" s="4">
        <v>24.6822266135148</v>
      </c>
      <c r="Q684" s="4">
        <v>43.3017672809667</v>
      </c>
      <c r="R684" s="4">
        <v>41</v>
      </c>
      <c r="S684" s="7" t="s">
        <v>32</v>
      </c>
      <c r="T684" s="4">
        <v>164418</v>
      </c>
      <c r="U684" s="4">
        <v>224057</v>
      </c>
      <c r="V684" s="4">
        <v>25472</v>
      </c>
      <c r="W684" s="4">
        <v>121100</v>
      </c>
      <c r="X684" s="4">
        <v>82057</v>
      </c>
      <c r="Y684" s="4">
        <v>133000</v>
      </c>
      <c r="Z684" s="4">
        <v>120000</v>
      </c>
      <c r="AA684" s="4">
        <v>10100</v>
      </c>
      <c r="AB684" s="4">
        <v>51120</v>
      </c>
      <c r="AC684" s="4">
        <v>95882</v>
      </c>
      <c r="AD684" s="4">
        <v>6893</v>
      </c>
      <c r="AE684" s="4">
        <v>36325</v>
      </c>
      <c r="AF684" s="4">
        <v>190220</v>
      </c>
      <c r="AG684" s="6">
        <v>697</v>
      </c>
      <c r="AH684" s="6">
        <v>686</v>
      </c>
      <c r="AI684" s="6">
        <v>11</v>
      </c>
      <c r="AL684" s="4">
        <v>114</v>
      </c>
      <c r="AM684" s="4">
        <v>1267</v>
      </c>
      <c r="AN684" s="4">
        <v>86</v>
      </c>
      <c r="AV684" s="4">
        <v>14</v>
      </c>
      <c r="AW684" s="4">
        <v>31</v>
      </c>
    </row>
    <row r="685" spans="1:49" x14ac:dyDescent="0.2">
      <c r="A685" s="1">
        <v>44042</v>
      </c>
      <c r="B685">
        <f t="shared" si="96"/>
        <v>-1.05</v>
      </c>
      <c r="C685" s="1" t="s">
        <v>59</v>
      </c>
      <c r="D685" s="1" t="s">
        <v>62</v>
      </c>
      <c r="E685" s="1" t="s">
        <v>68</v>
      </c>
      <c r="F685" s="1" t="s">
        <v>53</v>
      </c>
      <c r="G685">
        <v>2192</v>
      </c>
      <c r="H685" s="4">
        <v>34.14</v>
      </c>
      <c r="I685" s="4">
        <v>117</v>
      </c>
      <c r="J685" s="4">
        <v>42</v>
      </c>
      <c r="K685" s="4">
        <v>75.37</v>
      </c>
      <c r="L685" s="4">
        <v>175</v>
      </c>
      <c r="M685" s="4">
        <v>59</v>
      </c>
      <c r="N685" s="4">
        <v>87</v>
      </c>
      <c r="O685" s="4">
        <v>44</v>
      </c>
      <c r="P685" s="4">
        <v>23.934850862139299</v>
      </c>
      <c r="Q685" s="4">
        <v>43.329122806558203</v>
      </c>
      <c r="R685" s="4">
        <v>39</v>
      </c>
      <c r="S685" s="7" t="s">
        <v>32</v>
      </c>
      <c r="T685" s="4">
        <v>169648</v>
      </c>
      <c r="U685" s="4">
        <v>220803</v>
      </c>
      <c r="V685" s="4">
        <v>36629</v>
      </c>
      <c r="W685" s="4">
        <v>123600</v>
      </c>
      <c r="X685" s="4">
        <v>84303</v>
      </c>
      <c r="Y685" s="4">
        <v>127500</v>
      </c>
      <c r="Z685" s="4">
        <v>120000</v>
      </c>
      <c r="AA685" s="4">
        <v>12600</v>
      </c>
      <c r="AB685" s="4">
        <v>54365</v>
      </c>
      <c r="AC685" s="4">
        <v>99669</v>
      </c>
      <c r="AD685" s="4">
        <v>7844</v>
      </c>
      <c r="AE685" s="4">
        <v>44778</v>
      </c>
      <c r="AF685" s="4">
        <v>206656</v>
      </c>
      <c r="AG685" s="6">
        <v>946</v>
      </c>
      <c r="AH685" s="6">
        <v>926</v>
      </c>
      <c r="AI685" s="6">
        <v>20</v>
      </c>
      <c r="AL685" s="4">
        <v>132</v>
      </c>
      <c r="AM685" s="4">
        <v>1315</v>
      </c>
      <c r="AN685" s="4">
        <v>84</v>
      </c>
      <c r="AV685" s="4">
        <v>10</v>
      </c>
      <c r="AW685" s="4">
        <v>17</v>
      </c>
    </row>
    <row r="686" spans="1:49" x14ac:dyDescent="0.2">
      <c r="A686" s="1">
        <v>44041</v>
      </c>
      <c r="B686">
        <f t="shared" si="96"/>
        <v>-1.05</v>
      </c>
      <c r="C686" s="1" t="s">
        <v>59</v>
      </c>
      <c r="D686" s="1" t="s">
        <v>62</v>
      </c>
      <c r="E686" s="1" t="s">
        <v>68</v>
      </c>
      <c r="F686" s="1" t="s">
        <v>53</v>
      </c>
      <c r="G686">
        <v>2190</v>
      </c>
      <c r="H686" s="4">
        <v>29.91</v>
      </c>
      <c r="I686" s="4">
        <v>118</v>
      </c>
      <c r="J686" s="4">
        <v>43</v>
      </c>
      <c r="K686" s="4">
        <v>73.89</v>
      </c>
      <c r="L686" s="4">
        <v>165</v>
      </c>
      <c r="M686" s="4">
        <v>58</v>
      </c>
      <c r="N686" s="4">
        <v>84</v>
      </c>
      <c r="O686" s="4">
        <v>44</v>
      </c>
      <c r="P686" s="4">
        <v>23.751691752231501</v>
      </c>
      <c r="Q686" s="4">
        <v>43.190981412253997</v>
      </c>
      <c r="R686" s="4">
        <v>37</v>
      </c>
      <c r="S686" s="7" t="s">
        <v>32</v>
      </c>
      <c r="T686" s="4">
        <v>157273</v>
      </c>
      <c r="U686" s="4">
        <v>220803</v>
      </c>
      <c r="V686" s="4">
        <v>8041</v>
      </c>
      <c r="W686" s="4">
        <v>123600</v>
      </c>
      <c r="X686" s="4">
        <v>84303</v>
      </c>
      <c r="Y686" s="4">
        <v>127500</v>
      </c>
      <c r="Z686" s="4">
        <v>120000</v>
      </c>
      <c r="AA686" s="4">
        <v>12600</v>
      </c>
      <c r="AB686" s="4">
        <v>55197</v>
      </c>
      <c r="AC686" s="4">
        <v>88122</v>
      </c>
      <c r="AD686" s="4">
        <v>7688</v>
      </c>
      <c r="AE686" s="4">
        <v>14473</v>
      </c>
      <c r="AF686" s="4">
        <v>165480</v>
      </c>
      <c r="AG686" s="6">
        <v>1062</v>
      </c>
      <c r="AH686" s="6">
        <v>1043</v>
      </c>
      <c r="AI686" s="6">
        <v>19</v>
      </c>
      <c r="AL686" s="4">
        <v>131</v>
      </c>
      <c r="AM686" s="4">
        <v>1351</v>
      </c>
      <c r="AN686" s="4">
        <v>87</v>
      </c>
      <c r="AV686" s="4">
        <v>12</v>
      </c>
      <c r="AW686" s="4">
        <v>28</v>
      </c>
    </row>
    <row r="687" spans="1:49" x14ac:dyDescent="0.2">
      <c r="A687" s="1">
        <v>44040</v>
      </c>
      <c r="B687">
        <f t="shared" si="96"/>
        <v>-1.05</v>
      </c>
      <c r="C687" s="1" t="s">
        <v>59</v>
      </c>
      <c r="D687" s="1" t="s">
        <v>62</v>
      </c>
      <c r="E687" s="1" t="s">
        <v>68</v>
      </c>
      <c r="F687" s="1" t="s">
        <v>53</v>
      </c>
      <c r="G687">
        <v>2160</v>
      </c>
      <c r="H687" s="4">
        <v>27.38</v>
      </c>
      <c r="I687" s="4">
        <v>118</v>
      </c>
      <c r="J687" s="4">
        <v>42</v>
      </c>
      <c r="K687" s="4">
        <v>69.64</v>
      </c>
      <c r="L687" s="4">
        <v>149</v>
      </c>
      <c r="M687" s="4">
        <v>57</v>
      </c>
      <c r="N687" s="4">
        <v>83</v>
      </c>
      <c r="O687" s="4">
        <v>43</v>
      </c>
      <c r="P687" s="4">
        <v>23.0574794176488</v>
      </c>
      <c r="Q687" s="4">
        <v>42.855463921169502</v>
      </c>
      <c r="R687" s="4">
        <v>36</v>
      </c>
      <c r="S687" s="7" t="s">
        <v>32</v>
      </c>
      <c r="T687" s="4">
        <v>148110</v>
      </c>
      <c r="U687" s="4">
        <v>220803</v>
      </c>
      <c r="V687" s="4">
        <v>7128</v>
      </c>
      <c r="W687" s="4">
        <v>121100</v>
      </c>
      <c r="X687" s="4">
        <v>84303</v>
      </c>
      <c r="Y687" s="4">
        <v>127500</v>
      </c>
      <c r="Z687" s="4">
        <v>120000</v>
      </c>
      <c r="AA687" s="4">
        <v>10100</v>
      </c>
      <c r="AB687" s="4">
        <v>55096</v>
      </c>
      <c r="AC687" s="4">
        <v>75515</v>
      </c>
      <c r="AD687" s="4">
        <v>7128</v>
      </c>
      <c r="AE687" s="4">
        <v>17207</v>
      </c>
      <c r="AF687" s="4">
        <v>154946</v>
      </c>
      <c r="AG687" s="6">
        <v>856</v>
      </c>
      <c r="AH687" s="6">
        <v>836</v>
      </c>
      <c r="AI687" s="6">
        <v>20</v>
      </c>
      <c r="AL687" s="4">
        <v>119</v>
      </c>
      <c r="AM687" s="4">
        <v>1370</v>
      </c>
      <c r="AN687" s="4">
        <v>93</v>
      </c>
      <c r="AV687" s="4">
        <v>12</v>
      </c>
      <c r="AW687" s="4">
        <v>26</v>
      </c>
    </row>
    <row r="688" spans="1:49" x14ac:dyDescent="0.2">
      <c r="A688" s="1">
        <v>44039</v>
      </c>
      <c r="B688">
        <f t="shared" si="96"/>
        <v>-1.05</v>
      </c>
      <c r="C688" s="1" t="s">
        <v>59</v>
      </c>
      <c r="D688" s="1" t="s">
        <v>62</v>
      </c>
      <c r="E688" s="1" t="s">
        <v>68</v>
      </c>
      <c r="F688" s="1" t="s">
        <v>53</v>
      </c>
      <c r="G688">
        <v>2127</v>
      </c>
      <c r="H688" s="4">
        <v>23.82</v>
      </c>
      <c r="I688" s="4">
        <v>119</v>
      </c>
      <c r="J688" s="4">
        <v>41</v>
      </c>
      <c r="K688" s="4">
        <v>60.84</v>
      </c>
      <c r="L688" s="4">
        <v>111</v>
      </c>
      <c r="M688" s="4">
        <v>56</v>
      </c>
      <c r="N688" s="4">
        <v>81</v>
      </c>
      <c r="O688" s="4">
        <v>41</v>
      </c>
      <c r="P688" s="4">
        <v>22.4831549047965</v>
      </c>
      <c r="Q688" s="4">
        <v>40.821325068452403</v>
      </c>
      <c r="R688" s="4">
        <v>35</v>
      </c>
      <c r="S688" s="7" t="s">
        <v>32</v>
      </c>
      <c r="T688" s="4">
        <v>91034</v>
      </c>
      <c r="U688" s="4">
        <v>218709</v>
      </c>
      <c r="V688" s="4">
        <v>9525</v>
      </c>
      <c r="W688" s="4">
        <v>121100</v>
      </c>
      <c r="X688" s="4">
        <v>84209</v>
      </c>
      <c r="Y688" s="4">
        <v>125500</v>
      </c>
      <c r="Z688" s="4">
        <v>120000</v>
      </c>
      <c r="AA688" s="4">
        <v>10100</v>
      </c>
      <c r="AB688" s="4">
        <v>43402</v>
      </c>
      <c r="AC688" s="4">
        <v>38863</v>
      </c>
      <c r="AD688" s="4">
        <v>5281</v>
      </c>
      <c r="AE688" s="4">
        <v>11544</v>
      </c>
      <c r="AF688" s="4">
        <v>99090</v>
      </c>
      <c r="AG688" s="6">
        <v>869</v>
      </c>
      <c r="AH688" s="6">
        <v>857</v>
      </c>
      <c r="AI688" s="6">
        <v>12</v>
      </c>
      <c r="AL688" s="4">
        <v>129</v>
      </c>
      <c r="AM688" s="4">
        <v>1371</v>
      </c>
      <c r="AN688" s="4">
        <v>97</v>
      </c>
      <c r="AV688" s="4">
        <v>12</v>
      </c>
      <c r="AW688" s="4">
        <v>18</v>
      </c>
    </row>
    <row r="689" spans="1:49" x14ac:dyDescent="0.2">
      <c r="A689" s="1">
        <v>44038</v>
      </c>
      <c r="B689">
        <v>-2.0699999999999998</v>
      </c>
      <c r="C689" s="1" t="s">
        <v>59</v>
      </c>
      <c r="D689" s="1" t="s">
        <v>62</v>
      </c>
      <c r="E689" s="1" t="s">
        <v>68</v>
      </c>
      <c r="F689" s="1" t="s">
        <v>53</v>
      </c>
      <c r="G689">
        <v>2105</v>
      </c>
      <c r="H689" s="4">
        <v>41.93</v>
      </c>
      <c r="I689" s="4">
        <v>105</v>
      </c>
      <c r="J689" s="4">
        <v>85</v>
      </c>
      <c r="K689" s="4">
        <v>59.66</v>
      </c>
      <c r="L689" s="4">
        <v>125</v>
      </c>
      <c r="M689" s="4">
        <v>54</v>
      </c>
      <c r="N689" s="4">
        <v>76</v>
      </c>
      <c r="O689" s="4">
        <v>52</v>
      </c>
      <c r="P689" s="4">
        <v>30.767054510133899</v>
      </c>
      <c r="Q689" s="4">
        <v>54.470401949212999</v>
      </c>
      <c r="R689" s="4">
        <v>40</v>
      </c>
      <c r="S689" s="7" t="s">
        <v>32</v>
      </c>
      <c r="T689" s="4">
        <v>111818</v>
      </c>
      <c r="U689" s="4">
        <v>217485</v>
      </c>
      <c r="V689" s="4">
        <v>1623</v>
      </c>
      <c r="W689" s="4">
        <v>121100</v>
      </c>
      <c r="X689" s="4">
        <v>80985</v>
      </c>
      <c r="Y689" s="4">
        <v>127500</v>
      </c>
      <c r="Z689" s="4">
        <v>120000</v>
      </c>
      <c r="AA689" s="4">
        <v>10100</v>
      </c>
      <c r="AB689" s="4">
        <v>40977</v>
      </c>
      <c r="AC689" s="4">
        <v>63572</v>
      </c>
      <c r="AD689" s="4">
        <v>1623</v>
      </c>
      <c r="AE689" s="4">
        <v>7252</v>
      </c>
      <c r="AF689" s="4">
        <v>113424</v>
      </c>
      <c r="AG689" s="6">
        <v>563</v>
      </c>
      <c r="AH689" s="6">
        <v>560</v>
      </c>
      <c r="AI689" s="6">
        <v>3</v>
      </c>
      <c r="AL689" s="4">
        <v>109</v>
      </c>
      <c r="AM689" s="4">
        <v>1384</v>
      </c>
      <c r="AN689" s="4">
        <v>92</v>
      </c>
      <c r="AV689" s="4">
        <v>17</v>
      </c>
      <c r="AW689" s="4">
        <v>32</v>
      </c>
    </row>
    <row r="690" spans="1:49" x14ac:dyDescent="0.2">
      <c r="A690" s="1">
        <v>44037</v>
      </c>
      <c r="B690">
        <f>B689</f>
        <v>-2.0699999999999998</v>
      </c>
      <c r="C690" s="1" t="s">
        <v>59</v>
      </c>
      <c r="D690" s="1" t="s">
        <v>62</v>
      </c>
      <c r="E690" s="1" t="s">
        <v>68</v>
      </c>
      <c r="F690" s="1" t="s">
        <v>53</v>
      </c>
      <c r="G690">
        <v>2098</v>
      </c>
      <c r="H690" s="4">
        <v>42.1</v>
      </c>
      <c r="I690" s="4">
        <v>108</v>
      </c>
      <c r="J690" s="4">
        <v>79</v>
      </c>
      <c r="K690" s="4">
        <v>71.84</v>
      </c>
      <c r="L690" s="4">
        <v>73</v>
      </c>
      <c r="M690" s="4">
        <v>48</v>
      </c>
      <c r="N690" s="4">
        <v>75</v>
      </c>
      <c r="O690" s="4">
        <v>48</v>
      </c>
      <c r="P690" s="4">
        <v>25.694400710022698</v>
      </c>
      <c r="Q690" s="4">
        <v>48.140809423921098</v>
      </c>
      <c r="R690" s="4">
        <v>38</v>
      </c>
      <c r="S690" s="7" t="s">
        <v>32</v>
      </c>
      <c r="T690" s="4">
        <v>138127</v>
      </c>
      <c r="U690" s="4">
        <v>215702</v>
      </c>
      <c r="V690" s="4">
        <v>3892</v>
      </c>
      <c r="W690" s="4">
        <v>121100</v>
      </c>
      <c r="X690" s="4">
        <v>79202</v>
      </c>
      <c r="Y690" s="4">
        <v>127500</v>
      </c>
      <c r="Z690" s="4">
        <v>120000</v>
      </c>
      <c r="AA690" s="4">
        <v>10100</v>
      </c>
      <c r="AB690" s="4">
        <v>46013</v>
      </c>
      <c r="AC690" s="4">
        <v>88032</v>
      </c>
      <c r="AD690" s="4">
        <v>3107</v>
      </c>
      <c r="AE690" s="4">
        <v>5802</v>
      </c>
      <c r="AF690" s="4">
        <v>142954</v>
      </c>
      <c r="AG690" s="6">
        <v>530</v>
      </c>
      <c r="AH690" s="6">
        <v>527</v>
      </c>
      <c r="AI690" s="6">
        <v>3</v>
      </c>
      <c r="AL690" s="4">
        <v>120</v>
      </c>
      <c r="AM690" s="4">
        <v>1402</v>
      </c>
      <c r="AN690" s="4">
        <v>93</v>
      </c>
      <c r="AV690" s="4">
        <v>17</v>
      </c>
      <c r="AW690" s="4">
        <v>23</v>
      </c>
    </row>
    <row r="691" spans="1:49" x14ac:dyDescent="0.2">
      <c r="A691" s="1">
        <v>44036</v>
      </c>
      <c r="B691">
        <f t="shared" ref="B691:B695" si="97">B690</f>
        <v>-2.0699999999999998</v>
      </c>
      <c r="C691" s="1" t="s">
        <v>59</v>
      </c>
      <c r="D691" s="1" t="s">
        <v>62</v>
      </c>
      <c r="E691" s="1" t="s">
        <v>68</v>
      </c>
      <c r="F691" s="1" t="s">
        <v>53</v>
      </c>
      <c r="G691">
        <v>2067</v>
      </c>
      <c r="H691" s="4">
        <v>37.18</v>
      </c>
      <c r="I691" s="4">
        <v>118</v>
      </c>
      <c r="J691" s="4">
        <v>45</v>
      </c>
      <c r="K691" s="4">
        <v>77.37</v>
      </c>
      <c r="L691" s="4">
        <v>145</v>
      </c>
      <c r="M691" s="4">
        <v>53</v>
      </c>
      <c r="N691" s="4">
        <v>82</v>
      </c>
      <c r="O691" s="4">
        <v>45</v>
      </c>
      <c r="P691" s="4">
        <v>23.4719148280819</v>
      </c>
      <c r="Q691" s="4">
        <v>42.274566777224202</v>
      </c>
      <c r="R691" s="4">
        <v>37</v>
      </c>
      <c r="S691" s="7" t="s">
        <v>32</v>
      </c>
      <c r="T691" s="4">
        <v>147050</v>
      </c>
      <c r="U691" s="4">
        <v>209547</v>
      </c>
      <c r="V691" s="4">
        <v>9937</v>
      </c>
      <c r="W691" s="4">
        <v>121100</v>
      </c>
      <c r="X691" s="4">
        <v>82047</v>
      </c>
      <c r="Y691" s="4">
        <v>127500</v>
      </c>
      <c r="Z691" s="4">
        <v>120000</v>
      </c>
      <c r="AA691" s="4">
        <v>1100</v>
      </c>
      <c r="AB691" s="4">
        <v>48482</v>
      </c>
      <c r="AC691" s="4">
        <v>92297</v>
      </c>
      <c r="AD691" s="4">
        <v>9586</v>
      </c>
      <c r="AE691" s="4">
        <v>6864</v>
      </c>
      <c r="AF691" s="4">
        <v>157229</v>
      </c>
      <c r="AG691" s="6">
        <v>774</v>
      </c>
      <c r="AH691" s="6">
        <v>764</v>
      </c>
      <c r="AI691" s="6">
        <v>10</v>
      </c>
      <c r="AL691" s="4">
        <v>159</v>
      </c>
      <c r="AM691" s="4">
        <v>1454</v>
      </c>
      <c r="AN691" s="4">
        <v>104</v>
      </c>
      <c r="AV691" s="4">
        <v>7</v>
      </c>
      <c r="AW691" s="4">
        <v>19</v>
      </c>
    </row>
    <row r="692" spans="1:49" x14ac:dyDescent="0.2">
      <c r="A692" s="1">
        <v>44035</v>
      </c>
      <c r="B692">
        <f t="shared" si="97"/>
        <v>-2.0699999999999998</v>
      </c>
      <c r="C692" s="1" t="s">
        <v>59</v>
      </c>
      <c r="D692" s="1" t="s">
        <v>62</v>
      </c>
      <c r="E692" s="1" t="s">
        <v>68</v>
      </c>
      <c r="F692" s="1" t="s">
        <v>53</v>
      </c>
      <c r="G692">
        <v>2014</v>
      </c>
      <c r="H692" s="4">
        <v>29.04</v>
      </c>
      <c r="I692" s="4">
        <v>119</v>
      </c>
      <c r="J692" s="4">
        <v>44</v>
      </c>
      <c r="K692" s="4">
        <v>70.37</v>
      </c>
      <c r="L692" s="4">
        <v>156</v>
      </c>
      <c r="M692" s="4">
        <v>55</v>
      </c>
      <c r="N692" s="4">
        <v>83</v>
      </c>
      <c r="O692" s="4">
        <v>42</v>
      </c>
      <c r="P692" s="4">
        <v>22.395951480681202</v>
      </c>
      <c r="Q692" s="4">
        <v>41.058768369168</v>
      </c>
      <c r="R692" s="4">
        <v>35</v>
      </c>
      <c r="S692" s="7" t="s">
        <v>32</v>
      </c>
      <c r="T692" s="4">
        <v>140672</v>
      </c>
      <c r="U692" s="4">
        <v>206426</v>
      </c>
      <c r="V692" s="4">
        <v>11016</v>
      </c>
      <c r="W692" s="4">
        <v>123600</v>
      </c>
      <c r="X692" s="4">
        <v>82926</v>
      </c>
      <c r="Y692" s="4">
        <v>123500</v>
      </c>
      <c r="Z692" s="4">
        <v>120000</v>
      </c>
      <c r="AA692" s="4">
        <v>3600</v>
      </c>
      <c r="AB692" s="4">
        <v>51129</v>
      </c>
      <c r="AC692" s="4">
        <v>83164</v>
      </c>
      <c r="AD692" s="4">
        <v>9698</v>
      </c>
      <c r="AE692" s="4">
        <v>8142</v>
      </c>
      <c r="AF692" s="4">
        <v>152133</v>
      </c>
      <c r="AG692" s="6">
        <v>808</v>
      </c>
      <c r="AH692" s="6">
        <v>803</v>
      </c>
      <c r="AI692" s="6">
        <v>5</v>
      </c>
      <c r="AL692" s="4">
        <v>198</v>
      </c>
      <c r="AM692" s="4">
        <v>1539</v>
      </c>
      <c r="AN692" s="4">
        <v>111</v>
      </c>
      <c r="AV692" s="4">
        <v>16</v>
      </c>
      <c r="AW692" s="4">
        <v>36</v>
      </c>
    </row>
    <row r="693" spans="1:49" x14ac:dyDescent="0.2">
      <c r="A693" s="1">
        <v>44034</v>
      </c>
      <c r="B693">
        <f t="shared" si="97"/>
        <v>-2.0699999999999998</v>
      </c>
      <c r="C693" s="1" t="s">
        <v>59</v>
      </c>
      <c r="D693" s="1" t="s">
        <v>62</v>
      </c>
      <c r="E693" s="1" t="s">
        <v>68</v>
      </c>
      <c r="F693" s="1" t="s">
        <v>53</v>
      </c>
      <c r="G693">
        <v>1951</v>
      </c>
      <c r="H693" s="4">
        <v>26.57</v>
      </c>
      <c r="I693" s="4">
        <v>119</v>
      </c>
      <c r="J693" s="4">
        <v>44</v>
      </c>
      <c r="K693" s="4">
        <v>70.849999999999994</v>
      </c>
      <c r="L693" s="4">
        <v>166</v>
      </c>
      <c r="M693" s="4">
        <v>55</v>
      </c>
      <c r="N693" s="4">
        <v>82</v>
      </c>
      <c r="O693" s="4">
        <v>42</v>
      </c>
      <c r="P693" s="4">
        <v>22.128952209971398</v>
      </c>
      <c r="Q693" s="4">
        <v>40.954117283352403</v>
      </c>
      <c r="R693" s="4">
        <v>35</v>
      </c>
      <c r="S693" s="7" t="s">
        <v>32</v>
      </c>
      <c r="T693" s="4">
        <v>136826</v>
      </c>
      <c r="U693" s="4">
        <v>206426</v>
      </c>
      <c r="V693" s="4">
        <v>10361</v>
      </c>
      <c r="W693" s="4">
        <v>123600</v>
      </c>
      <c r="X693" s="4">
        <v>82926</v>
      </c>
      <c r="Y693" s="4">
        <v>123500</v>
      </c>
      <c r="Z693" s="4">
        <v>120000</v>
      </c>
      <c r="AA693" s="4">
        <v>3600</v>
      </c>
      <c r="AB693" s="4">
        <v>54435</v>
      </c>
      <c r="AC693" s="4">
        <v>77027</v>
      </c>
      <c r="AD693" s="4">
        <v>9391</v>
      </c>
      <c r="AE693" s="4">
        <v>6742</v>
      </c>
      <c r="AF693" s="4">
        <v>147595</v>
      </c>
      <c r="AG693" s="6">
        <v>816</v>
      </c>
      <c r="AH693" s="6">
        <v>804</v>
      </c>
      <c r="AI693" s="6">
        <v>12</v>
      </c>
      <c r="AL693" s="4">
        <v>158</v>
      </c>
      <c r="AM693" s="4">
        <v>1748</v>
      </c>
      <c r="AN693" s="4">
        <v>110</v>
      </c>
      <c r="AV693" s="4">
        <v>18</v>
      </c>
      <c r="AW693" s="4">
        <v>34</v>
      </c>
    </row>
    <row r="694" spans="1:49" x14ac:dyDescent="0.2">
      <c r="A694" s="1">
        <v>44033</v>
      </c>
      <c r="B694">
        <f t="shared" si="97"/>
        <v>-2.0699999999999998</v>
      </c>
      <c r="C694" s="1" t="s">
        <v>59</v>
      </c>
      <c r="D694" s="1" t="s">
        <v>62</v>
      </c>
      <c r="E694" s="1" t="s">
        <v>68</v>
      </c>
      <c r="F694" s="1" t="s">
        <v>53</v>
      </c>
      <c r="G694">
        <v>1889</v>
      </c>
      <c r="H694" s="4">
        <v>22.22</v>
      </c>
      <c r="I694" s="4">
        <v>118</v>
      </c>
      <c r="J694" s="4">
        <v>42</v>
      </c>
      <c r="K694" s="4">
        <v>69.06</v>
      </c>
      <c r="L694" s="4">
        <v>167</v>
      </c>
      <c r="M694" s="4">
        <v>56</v>
      </c>
      <c r="N694" s="4">
        <v>83</v>
      </c>
      <c r="O694" s="4">
        <v>42</v>
      </c>
      <c r="P694" s="4">
        <v>21.8434790305351</v>
      </c>
      <c r="Q694" s="4">
        <v>41.038757510171003</v>
      </c>
      <c r="R694" s="4">
        <v>34</v>
      </c>
      <c r="S694" s="7" t="s">
        <v>32</v>
      </c>
      <c r="T694" s="4">
        <v>132978</v>
      </c>
      <c r="U694" s="4">
        <v>206426</v>
      </c>
      <c r="V694" s="4">
        <v>9933</v>
      </c>
      <c r="W694" s="4">
        <v>121100</v>
      </c>
      <c r="X694" s="4">
        <v>82926</v>
      </c>
      <c r="Y694" s="4">
        <v>123500</v>
      </c>
      <c r="Z694" s="4">
        <v>120000</v>
      </c>
      <c r="AA694" s="4">
        <v>1100</v>
      </c>
      <c r="AB694" s="4">
        <v>52480</v>
      </c>
      <c r="AC694" s="4">
        <v>69214</v>
      </c>
      <c r="AD694" s="4">
        <v>9532</v>
      </c>
      <c r="AE694" s="4">
        <v>11333</v>
      </c>
      <c r="AF694" s="4">
        <v>142559</v>
      </c>
      <c r="AG694" s="6">
        <v>788</v>
      </c>
      <c r="AH694" s="6">
        <v>776</v>
      </c>
      <c r="AI694" s="6">
        <v>12</v>
      </c>
      <c r="AL694" s="4">
        <v>125</v>
      </c>
      <c r="AM694" s="4">
        <v>1635</v>
      </c>
      <c r="AN694" s="4">
        <v>137</v>
      </c>
      <c r="AV694" s="4">
        <v>20</v>
      </c>
      <c r="AW694" s="4">
        <v>31</v>
      </c>
    </row>
    <row r="695" spans="1:49" x14ac:dyDescent="0.2">
      <c r="A695" s="1">
        <v>44032</v>
      </c>
      <c r="B695">
        <f t="shared" si="97"/>
        <v>-2.0699999999999998</v>
      </c>
      <c r="C695" s="1" t="s">
        <v>59</v>
      </c>
      <c r="D695" s="1" t="s">
        <v>62</v>
      </c>
      <c r="E695" s="1" t="s">
        <v>68</v>
      </c>
      <c r="F695" s="1" t="s">
        <v>53</v>
      </c>
      <c r="G695">
        <v>1825</v>
      </c>
      <c r="H695" s="4">
        <v>22.35</v>
      </c>
      <c r="I695" s="4">
        <v>118</v>
      </c>
      <c r="J695" s="4">
        <v>43</v>
      </c>
      <c r="K695" s="4">
        <v>67.239999999999995</v>
      </c>
      <c r="L695" s="4">
        <v>189</v>
      </c>
      <c r="M695" s="4">
        <v>60</v>
      </c>
      <c r="N695" s="4">
        <v>86</v>
      </c>
      <c r="O695" s="4">
        <v>43</v>
      </c>
      <c r="P695" s="4">
        <v>22.282740859858801</v>
      </c>
      <c r="Q695" s="4">
        <v>41.437927447524501</v>
      </c>
      <c r="R695" s="4">
        <v>35</v>
      </c>
      <c r="S695" s="7" t="s">
        <v>32</v>
      </c>
      <c r="T695" s="4">
        <v>93475</v>
      </c>
      <c r="U695" s="4">
        <v>206332</v>
      </c>
      <c r="V695" s="4">
        <v>9223</v>
      </c>
      <c r="W695" s="4">
        <v>121100</v>
      </c>
      <c r="X695" s="4">
        <v>82832</v>
      </c>
      <c r="Y695" s="4">
        <v>123500</v>
      </c>
      <c r="Z695" s="4">
        <v>120000</v>
      </c>
      <c r="AA695" s="4">
        <v>1100</v>
      </c>
      <c r="AB695" s="4">
        <v>43230</v>
      </c>
      <c r="AC695" s="4">
        <v>40863</v>
      </c>
      <c r="AD695" s="4">
        <v>7716</v>
      </c>
      <c r="AE695" s="4">
        <v>9932</v>
      </c>
      <c r="AF695" s="4">
        <v>101741</v>
      </c>
      <c r="AG695" s="6">
        <v>830</v>
      </c>
      <c r="AH695" s="6">
        <v>817</v>
      </c>
      <c r="AI695" s="6">
        <v>13</v>
      </c>
      <c r="AL695" s="4">
        <v>130</v>
      </c>
      <c r="AM695" s="4">
        <v>1735</v>
      </c>
      <c r="AN695" s="4">
        <v>129</v>
      </c>
      <c r="AV695" s="4">
        <v>12</v>
      </c>
      <c r="AW695" s="4">
        <v>31</v>
      </c>
    </row>
    <row r="696" spans="1:49" x14ac:dyDescent="0.2">
      <c r="A696" s="1">
        <v>44031</v>
      </c>
      <c r="B696">
        <v>-3.13</v>
      </c>
      <c r="C696" s="1" t="s">
        <v>59</v>
      </c>
      <c r="D696" s="1" t="s">
        <v>62</v>
      </c>
      <c r="E696" s="1" t="s">
        <v>68</v>
      </c>
      <c r="F696" s="1" t="s">
        <v>53</v>
      </c>
      <c r="G696">
        <v>1774</v>
      </c>
      <c r="H696" s="4">
        <v>35.74</v>
      </c>
      <c r="I696" s="4">
        <v>106</v>
      </c>
      <c r="J696" s="4">
        <v>82</v>
      </c>
      <c r="K696" s="4">
        <v>54.74</v>
      </c>
      <c r="L696" s="4">
        <v>113</v>
      </c>
      <c r="M696" s="4">
        <v>51</v>
      </c>
      <c r="N696" s="4">
        <v>75</v>
      </c>
      <c r="O696" s="4">
        <v>49</v>
      </c>
      <c r="P696" s="4">
        <v>27.218868208464201</v>
      </c>
      <c r="Q696" s="4">
        <v>49.822214755811501</v>
      </c>
      <c r="R696" s="4">
        <v>36</v>
      </c>
      <c r="S696" s="7" t="s">
        <v>32</v>
      </c>
      <c r="T696" s="4">
        <v>114220</v>
      </c>
      <c r="U696" s="4">
        <v>197729</v>
      </c>
      <c r="V696" s="4">
        <v>6746</v>
      </c>
      <c r="W696" s="4">
        <v>121100</v>
      </c>
      <c r="X696" s="4">
        <v>79229</v>
      </c>
      <c r="Y696" s="4">
        <v>118500</v>
      </c>
      <c r="Z696" s="4">
        <v>120000</v>
      </c>
      <c r="AA696" s="4">
        <v>1100</v>
      </c>
      <c r="AB696" s="4">
        <v>39747</v>
      </c>
      <c r="AC696" s="4">
        <v>62825</v>
      </c>
      <c r="AD696" s="4">
        <v>1720</v>
      </c>
      <c r="AE696" s="4">
        <v>16676</v>
      </c>
      <c r="AF696" s="4">
        <v>120968</v>
      </c>
      <c r="AG696" s="6">
        <v>448</v>
      </c>
      <c r="AH696" s="6">
        <v>443</v>
      </c>
      <c r="AI696" s="6">
        <v>5</v>
      </c>
      <c r="AL696" s="4">
        <v>126</v>
      </c>
      <c r="AM696" s="4">
        <v>1743</v>
      </c>
      <c r="AN696" s="4">
        <v>131</v>
      </c>
      <c r="AV696" s="4">
        <v>14</v>
      </c>
      <c r="AW696" s="4">
        <v>24</v>
      </c>
    </row>
    <row r="697" spans="1:49" x14ac:dyDescent="0.2">
      <c r="A697" s="1">
        <v>44030</v>
      </c>
      <c r="B697">
        <f>B696</f>
        <v>-3.13</v>
      </c>
      <c r="C697" s="1" t="s">
        <v>59</v>
      </c>
      <c r="D697" s="1" t="s">
        <v>62</v>
      </c>
      <c r="E697" s="1" t="s">
        <v>68</v>
      </c>
      <c r="F697" s="1" t="s">
        <v>53</v>
      </c>
      <c r="G697">
        <v>1714</v>
      </c>
      <c r="H697" s="4">
        <v>39.21</v>
      </c>
      <c r="I697" s="4">
        <v>106</v>
      </c>
      <c r="J697" s="4">
        <v>81</v>
      </c>
      <c r="K697" s="4">
        <v>86.51</v>
      </c>
      <c r="L697" s="4">
        <v>145</v>
      </c>
      <c r="M697" s="4">
        <v>50</v>
      </c>
      <c r="N697" s="4">
        <v>81</v>
      </c>
      <c r="O697" s="4">
        <v>52</v>
      </c>
      <c r="P697" s="4">
        <v>27.1436236501815</v>
      </c>
      <c r="Q697" s="4">
        <v>49.745945946234599</v>
      </c>
      <c r="R697" s="4">
        <v>40</v>
      </c>
      <c r="S697" s="7" t="s">
        <v>32</v>
      </c>
      <c r="T697" s="4">
        <v>135707</v>
      </c>
      <c r="U697" s="4">
        <v>196351</v>
      </c>
      <c r="V697" s="4">
        <v>4614</v>
      </c>
      <c r="W697" s="4">
        <v>121100</v>
      </c>
      <c r="X697" s="4">
        <v>77851</v>
      </c>
      <c r="Y697" s="4">
        <v>118500</v>
      </c>
      <c r="Z697" s="4">
        <v>120000</v>
      </c>
      <c r="AA697" s="4">
        <v>1100</v>
      </c>
      <c r="AB697" s="4">
        <v>42558</v>
      </c>
      <c r="AC697" s="4">
        <v>89139</v>
      </c>
      <c r="AD697" s="4">
        <v>3946</v>
      </c>
      <c r="AE697" s="4">
        <v>4750</v>
      </c>
      <c r="AF697" s="4">
        <v>140393</v>
      </c>
      <c r="AG697" s="6">
        <v>505</v>
      </c>
      <c r="AH697" s="6">
        <v>499</v>
      </c>
      <c r="AI697" s="6">
        <v>6</v>
      </c>
      <c r="AL697" s="4">
        <v>105</v>
      </c>
      <c r="AM697" s="4">
        <v>1777</v>
      </c>
      <c r="AN697" s="4">
        <v>137</v>
      </c>
      <c r="AV697" s="4">
        <v>14</v>
      </c>
      <c r="AW697" s="4">
        <v>31</v>
      </c>
    </row>
    <row r="698" spans="1:49" x14ac:dyDescent="0.2">
      <c r="A698" s="1">
        <v>44029</v>
      </c>
      <c r="B698">
        <f t="shared" ref="B698:B702" si="98">B697</f>
        <v>-3.13</v>
      </c>
      <c r="C698" s="1" t="s">
        <v>59</v>
      </c>
      <c r="D698" s="1" t="s">
        <v>62</v>
      </c>
      <c r="E698" s="1" t="s">
        <v>68</v>
      </c>
      <c r="F698" s="1" t="s">
        <v>53</v>
      </c>
      <c r="G698">
        <v>1674</v>
      </c>
      <c r="H698" s="4">
        <v>34.369999999999997</v>
      </c>
      <c r="I698" s="4">
        <v>117</v>
      </c>
      <c r="J698" s="4">
        <v>47</v>
      </c>
      <c r="K698" s="4">
        <v>77.95</v>
      </c>
      <c r="L698" s="4">
        <v>171</v>
      </c>
      <c r="M698" s="4">
        <v>54</v>
      </c>
      <c r="N698" s="4">
        <v>86</v>
      </c>
      <c r="O698" s="4">
        <v>46</v>
      </c>
      <c r="P698" s="4">
        <v>22.818020823822799</v>
      </c>
      <c r="Q698" s="4">
        <v>42.900455874409197</v>
      </c>
      <c r="R698" s="4">
        <v>37</v>
      </c>
      <c r="S698" s="7" t="s">
        <v>32</v>
      </c>
      <c r="T698" s="4">
        <v>163667</v>
      </c>
      <c r="U698" s="4">
        <v>198606</v>
      </c>
      <c r="V698" s="4">
        <v>13185</v>
      </c>
      <c r="W698" s="4">
        <v>121100</v>
      </c>
      <c r="X698" s="4">
        <v>80106</v>
      </c>
      <c r="Y698" s="4">
        <v>118500</v>
      </c>
      <c r="Z698" s="4">
        <v>120000</v>
      </c>
      <c r="AA698" s="4">
        <v>1100</v>
      </c>
      <c r="AB698" s="4">
        <v>49443</v>
      </c>
      <c r="AC698" s="4">
        <v>107813</v>
      </c>
      <c r="AD698" s="4">
        <v>12556</v>
      </c>
      <c r="AE698" s="4">
        <v>7813</v>
      </c>
      <c r="AF698" s="4">
        <v>177625</v>
      </c>
      <c r="AG698" s="6">
        <v>582</v>
      </c>
      <c r="AH698" s="6">
        <v>578</v>
      </c>
      <c r="AI698" s="6">
        <v>4</v>
      </c>
      <c r="AL698" s="4">
        <v>143</v>
      </c>
      <c r="AM698" s="4">
        <v>1805</v>
      </c>
      <c r="AN698" s="4">
        <v>143</v>
      </c>
      <c r="AV698" s="4">
        <v>18</v>
      </c>
      <c r="AW698" s="4">
        <v>34</v>
      </c>
    </row>
    <row r="699" spans="1:49" x14ac:dyDescent="0.2">
      <c r="A699" s="1">
        <v>44028</v>
      </c>
      <c r="B699">
        <f t="shared" si="98"/>
        <v>-3.13</v>
      </c>
      <c r="C699" s="1" t="s">
        <v>59</v>
      </c>
      <c r="D699" s="1" t="s">
        <v>62</v>
      </c>
      <c r="E699" s="1" t="s">
        <v>68</v>
      </c>
      <c r="F699" s="1" t="s">
        <v>53</v>
      </c>
      <c r="G699">
        <v>1654</v>
      </c>
      <c r="H699" s="4">
        <v>23.88</v>
      </c>
      <c r="I699" s="4">
        <v>120</v>
      </c>
      <c r="J699" s="4">
        <v>45</v>
      </c>
      <c r="K699" s="4">
        <v>66</v>
      </c>
      <c r="L699" s="4">
        <v>148</v>
      </c>
      <c r="M699" s="4">
        <v>54</v>
      </c>
      <c r="N699" s="4">
        <v>84</v>
      </c>
      <c r="O699" s="4">
        <v>41</v>
      </c>
      <c r="P699" s="4">
        <v>21.078361662664701</v>
      </c>
      <c r="Q699" s="4">
        <v>40.900858274094197</v>
      </c>
      <c r="R699" s="4">
        <v>33</v>
      </c>
      <c r="S699" s="7" t="s">
        <v>32</v>
      </c>
      <c r="T699" s="4">
        <v>150911</v>
      </c>
      <c r="U699" s="4">
        <v>203277</v>
      </c>
      <c r="V699" s="4">
        <v>14991</v>
      </c>
      <c r="W699" s="4">
        <v>123600</v>
      </c>
      <c r="X699" s="4">
        <v>81777</v>
      </c>
      <c r="Y699" s="4">
        <v>121500</v>
      </c>
      <c r="Z699" s="4">
        <v>120000</v>
      </c>
      <c r="AA699" s="4">
        <v>3600</v>
      </c>
      <c r="AB699" s="4">
        <v>50434</v>
      </c>
      <c r="AC699" s="4">
        <v>98781</v>
      </c>
      <c r="AD699" s="4">
        <v>13777</v>
      </c>
      <c r="AE699" s="4">
        <v>2974</v>
      </c>
      <c r="AF699" s="4">
        <v>165966</v>
      </c>
      <c r="AG699" s="6">
        <v>712</v>
      </c>
      <c r="AH699" s="6">
        <v>704</v>
      </c>
      <c r="AI699" s="6">
        <v>8</v>
      </c>
      <c r="AL699" s="4">
        <v>166</v>
      </c>
      <c r="AM699" s="4">
        <v>1830</v>
      </c>
      <c r="AN699" s="4">
        <v>142</v>
      </c>
      <c r="AV699" s="4">
        <v>13</v>
      </c>
      <c r="AW699" s="4">
        <v>21</v>
      </c>
    </row>
    <row r="700" spans="1:49" x14ac:dyDescent="0.2">
      <c r="A700" s="1">
        <v>44027</v>
      </c>
      <c r="B700">
        <f t="shared" si="98"/>
        <v>-3.13</v>
      </c>
      <c r="C700" s="1" t="s">
        <v>59</v>
      </c>
      <c r="D700" s="1" t="s">
        <v>62</v>
      </c>
      <c r="E700" s="1" t="s">
        <v>68</v>
      </c>
      <c r="F700" s="1" t="s">
        <v>53</v>
      </c>
      <c r="G700">
        <v>1640</v>
      </c>
      <c r="H700" s="4">
        <v>22.03</v>
      </c>
      <c r="I700" s="4">
        <v>120</v>
      </c>
      <c r="J700" s="4">
        <v>45</v>
      </c>
      <c r="K700" s="4">
        <v>63.72</v>
      </c>
      <c r="L700" s="4">
        <v>128</v>
      </c>
      <c r="M700" s="4">
        <v>52</v>
      </c>
      <c r="N700" s="4">
        <v>81</v>
      </c>
      <c r="O700" s="4">
        <v>40</v>
      </c>
      <c r="P700" s="4">
        <v>20.6178437515123</v>
      </c>
      <c r="Q700" s="4">
        <v>40.161528534747902</v>
      </c>
      <c r="R700" s="4">
        <v>32</v>
      </c>
      <c r="S700" s="7" t="s">
        <v>32</v>
      </c>
      <c r="T700" s="4">
        <v>137224</v>
      </c>
      <c r="U700" s="4">
        <v>226270</v>
      </c>
      <c r="V700" s="4">
        <v>14235</v>
      </c>
      <c r="W700" s="4">
        <v>123600</v>
      </c>
      <c r="X700" s="4">
        <v>81770</v>
      </c>
      <c r="Y700" s="4">
        <v>139500</v>
      </c>
      <c r="Z700" s="4">
        <v>120000</v>
      </c>
      <c r="AA700" s="4">
        <v>8600</v>
      </c>
      <c r="AB700" s="4">
        <v>53790</v>
      </c>
      <c r="AC700" s="4">
        <v>75826</v>
      </c>
      <c r="AD700" s="4">
        <v>13532</v>
      </c>
      <c r="AE700" s="4">
        <v>8915</v>
      </c>
      <c r="AF700" s="4">
        <v>152063</v>
      </c>
      <c r="AG700" s="6">
        <v>777</v>
      </c>
      <c r="AH700" s="6">
        <v>771</v>
      </c>
      <c r="AI700" s="6">
        <v>6</v>
      </c>
      <c r="AL700" s="4">
        <v>168</v>
      </c>
      <c r="AM700" s="4">
        <v>1975</v>
      </c>
      <c r="AN700" s="4">
        <v>153</v>
      </c>
      <c r="AV700" s="4">
        <v>20</v>
      </c>
      <c r="AW700" s="4">
        <v>41</v>
      </c>
    </row>
    <row r="701" spans="1:49" x14ac:dyDescent="0.2">
      <c r="A701" s="1">
        <v>44026</v>
      </c>
      <c r="B701">
        <f t="shared" si="98"/>
        <v>-3.13</v>
      </c>
      <c r="C701" s="1" t="s">
        <v>59</v>
      </c>
      <c r="D701" s="1" t="s">
        <v>62</v>
      </c>
      <c r="E701" s="1" t="s">
        <v>68</v>
      </c>
      <c r="F701" s="1" t="s">
        <v>53</v>
      </c>
      <c r="G701">
        <v>1614</v>
      </c>
      <c r="H701" s="4">
        <v>17.77</v>
      </c>
      <c r="I701" s="4">
        <v>120</v>
      </c>
      <c r="J701" s="4">
        <v>43</v>
      </c>
      <c r="K701" s="4">
        <v>62.74</v>
      </c>
      <c r="L701" s="4">
        <v>140</v>
      </c>
      <c r="M701" s="4">
        <v>51</v>
      </c>
      <c r="N701" s="4">
        <v>83</v>
      </c>
      <c r="O701" s="4">
        <v>42</v>
      </c>
      <c r="P701" s="4">
        <v>20.317923002172101</v>
      </c>
      <c r="Q701" s="4">
        <v>40.320702546373901</v>
      </c>
      <c r="R701" s="4">
        <v>32</v>
      </c>
      <c r="S701" s="7" t="s">
        <v>32</v>
      </c>
      <c r="T701" s="4">
        <v>119234</v>
      </c>
      <c r="U701" s="4">
        <v>224770</v>
      </c>
      <c r="V701" s="4">
        <v>13935</v>
      </c>
      <c r="W701" s="4">
        <v>121100</v>
      </c>
      <c r="X701" s="4">
        <v>81770</v>
      </c>
      <c r="Y701" s="4">
        <v>138000</v>
      </c>
      <c r="Z701" s="4">
        <v>120000</v>
      </c>
      <c r="AA701" s="4">
        <v>6100</v>
      </c>
      <c r="AB701" s="4">
        <v>53820</v>
      </c>
      <c r="AC701" s="4">
        <v>58675</v>
      </c>
      <c r="AD701" s="4">
        <v>13434</v>
      </c>
      <c r="AE701" s="4">
        <v>6192</v>
      </c>
      <c r="AF701" s="4">
        <v>132121</v>
      </c>
      <c r="AG701" s="6">
        <v>705</v>
      </c>
      <c r="AH701" s="6">
        <v>698</v>
      </c>
      <c r="AI701" s="6">
        <v>7</v>
      </c>
      <c r="AL701" s="4">
        <v>186</v>
      </c>
      <c r="AM701" s="4">
        <v>1994</v>
      </c>
      <c r="AN701" s="4">
        <v>145</v>
      </c>
      <c r="AV701" s="4">
        <v>21</v>
      </c>
      <c r="AW701" s="4">
        <v>42</v>
      </c>
    </row>
    <row r="702" spans="1:49" x14ac:dyDescent="0.2">
      <c r="A702" s="1">
        <v>44025</v>
      </c>
      <c r="B702">
        <f t="shared" si="98"/>
        <v>-3.13</v>
      </c>
      <c r="C702" s="1" t="s">
        <v>59</v>
      </c>
      <c r="D702" s="1" t="s">
        <v>62</v>
      </c>
      <c r="E702" s="1" t="s">
        <v>68</v>
      </c>
      <c r="F702" s="1" t="s">
        <v>53</v>
      </c>
      <c r="G702">
        <v>1584</v>
      </c>
      <c r="H702" s="4">
        <v>17.04</v>
      </c>
      <c r="I702" s="4">
        <v>119</v>
      </c>
      <c r="J702" s="4">
        <v>44</v>
      </c>
      <c r="K702" s="4">
        <v>61.49</v>
      </c>
      <c r="L702" s="4">
        <v>165</v>
      </c>
      <c r="M702" s="4">
        <v>53</v>
      </c>
      <c r="N702" s="4">
        <v>85</v>
      </c>
      <c r="O702" s="4">
        <v>43</v>
      </c>
      <c r="P702" s="4">
        <v>20.7728764609185</v>
      </c>
      <c r="Q702" s="4">
        <v>41.025524557625602</v>
      </c>
      <c r="R702" s="4">
        <v>33</v>
      </c>
      <c r="S702" s="7" t="s">
        <v>32</v>
      </c>
      <c r="T702" s="4">
        <v>86927</v>
      </c>
      <c r="U702" s="4">
        <v>218655</v>
      </c>
      <c r="V702" s="4">
        <v>11523</v>
      </c>
      <c r="W702" s="4">
        <v>121100</v>
      </c>
      <c r="X702" s="4">
        <v>81655</v>
      </c>
      <c r="Y702" s="4">
        <v>132000</v>
      </c>
      <c r="Z702" s="4">
        <v>120000</v>
      </c>
      <c r="AA702" s="4">
        <v>6100</v>
      </c>
      <c r="AB702" s="4">
        <v>41340</v>
      </c>
      <c r="AC702" s="4">
        <v>33420</v>
      </c>
      <c r="AD702" s="4">
        <v>11241</v>
      </c>
      <c r="AE702" s="4">
        <v>11402</v>
      </c>
      <c r="AF702" s="4">
        <v>97403</v>
      </c>
      <c r="AG702" s="6">
        <v>740</v>
      </c>
      <c r="AH702" s="6">
        <v>736</v>
      </c>
      <c r="AI702" s="6">
        <v>4</v>
      </c>
      <c r="AL702" s="4">
        <v>189</v>
      </c>
      <c r="AM702" s="4">
        <v>2114</v>
      </c>
      <c r="AN702" s="4">
        <v>162</v>
      </c>
      <c r="AV702" s="4">
        <v>25</v>
      </c>
      <c r="AW702" s="4">
        <v>45</v>
      </c>
    </row>
    <row r="703" spans="1:49" x14ac:dyDescent="0.2">
      <c r="A703" s="1">
        <v>44024</v>
      </c>
      <c r="B703">
        <v>-5.98</v>
      </c>
      <c r="C703" s="1" t="s">
        <v>59</v>
      </c>
      <c r="D703" s="1" t="s">
        <v>62</v>
      </c>
      <c r="E703" s="1" t="s">
        <v>68</v>
      </c>
      <c r="F703" s="1" t="s">
        <v>53</v>
      </c>
      <c r="G703">
        <v>1550</v>
      </c>
      <c r="H703" s="4">
        <v>32.6</v>
      </c>
      <c r="I703" s="4">
        <v>105</v>
      </c>
      <c r="J703" s="4">
        <v>83</v>
      </c>
      <c r="K703" s="4">
        <v>60.94</v>
      </c>
      <c r="L703" s="4">
        <v>172</v>
      </c>
      <c r="M703" s="4">
        <v>49</v>
      </c>
      <c r="N703" s="4">
        <v>80</v>
      </c>
      <c r="O703" s="4">
        <v>53</v>
      </c>
      <c r="P703" s="4">
        <v>27.485474680730299</v>
      </c>
      <c r="Q703" s="4">
        <v>50.478743610961502</v>
      </c>
      <c r="R703" s="4">
        <v>36</v>
      </c>
      <c r="S703" s="7" t="s">
        <v>32</v>
      </c>
      <c r="T703" s="4">
        <v>94673</v>
      </c>
      <c r="U703" s="4">
        <v>216526</v>
      </c>
      <c r="V703" s="4">
        <v>7227</v>
      </c>
      <c r="W703" s="4">
        <v>121100</v>
      </c>
      <c r="X703" s="4">
        <v>79526</v>
      </c>
      <c r="Y703" s="4">
        <v>132000</v>
      </c>
      <c r="Z703" s="4">
        <v>120000</v>
      </c>
      <c r="AA703" s="4">
        <v>6100</v>
      </c>
      <c r="AB703" s="4">
        <v>34930</v>
      </c>
      <c r="AC703" s="4">
        <v>51679</v>
      </c>
      <c r="AD703" s="4">
        <v>2822</v>
      </c>
      <c r="AE703" s="4">
        <v>12496</v>
      </c>
      <c r="AF703" s="4">
        <v>101927</v>
      </c>
      <c r="AG703" s="6">
        <v>366</v>
      </c>
      <c r="AH703" s="6">
        <v>364</v>
      </c>
      <c r="AI703" s="6">
        <v>2</v>
      </c>
      <c r="AL703" s="4">
        <v>114</v>
      </c>
      <c r="AM703" s="4">
        <v>2102</v>
      </c>
      <c r="AN703" s="4">
        <v>159</v>
      </c>
      <c r="AV703" s="4">
        <v>14</v>
      </c>
      <c r="AW703" s="4">
        <v>32</v>
      </c>
    </row>
    <row r="704" spans="1:49" x14ac:dyDescent="0.2">
      <c r="A704" s="1">
        <v>44023</v>
      </c>
      <c r="B704">
        <f>B703</f>
        <v>-5.98</v>
      </c>
      <c r="C704" s="1" t="s">
        <v>59</v>
      </c>
      <c r="D704" s="1" t="s">
        <v>62</v>
      </c>
      <c r="E704" s="1" t="s">
        <v>68</v>
      </c>
      <c r="F704" s="1" t="s">
        <v>53</v>
      </c>
      <c r="G704">
        <v>1531</v>
      </c>
      <c r="H704" s="4">
        <v>32.15</v>
      </c>
      <c r="I704" s="4">
        <v>107</v>
      </c>
      <c r="J704" s="4">
        <v>80</v>
      </c>
      <c r="K704" s="4">
        <v>79.34</v>
      </c>
      <c r="L704" s="4">
        <v>136</v>
      </c>
      <c r="M704" s="4">
        <v>46</v>
      </c>
      <c r="N704" s="4">
        <v>82</v>
      </c>
      <c r="O704" s="4">
        <v>52</v>
      </c>
      <c r="P704" s="4">
        <v>24.7383101649488</v>
      </c>
      <c r="Q704" s="4">
        <v>47.173028195410097</v>
      </c>
      <c r="R704" s="4">
        <v>37</v>
      </c>
      <c r="S704" s="7" t="s">
        <v>32</v>
      </c>
      <c r="T704" s="4">
        <v>126100</v>
      </c>
      <c r="U704" s="4">
        <v>215141</v>
      </c>
      <c r="V704" s="4">
        <v>8341</v>
      </c>
      <c r="W704" s="4">
        <v>121380</v>
      </c>
      <c r="X704" s="4">
        <v>77001</v>
      </c>
      <c r="Y704" s="4">
        <v>132000</v>
      </c>
      <c r="Z704" s="4">
        <v>120000</v>
      </c>
      <c r="AA704" s="4">
        <v>7520</v>
      </c>
      <c r="AB704" s="4">
        <v>46023</v>
      </c>
      <c r="AC704" s="4">
        <v>78071</v>
      </c>
      <c r="AD704" s="4">
        <v>8148</v>
      </c>
      <c r="AE704" s="4">
        <v>2648</v>
      </c>
      <c r="AF704" s="4">
        <v>134890</v>
      </c>
      <c r="AG704" s="6">
        <v>459</v>
      </c>
      <c r="AH704" s="6">
        <v>455</v>
      </c>
      <c r="AI704" s="6">
        <v>4</v>
      </c>
      <c r="AL704" s="4">
        <v>177</v>
      </c>
      <c r="AM704" s="4">
        <v>2120</v>
      </c>
      <c r="AN704" s="4">
        <v>168</v>
      </c>
      <c r="AV704" s="4">
        <v>21</v>
      </c>
      <c r="AW704" s="4">
        <v>38</v>
      </c>
    </row>
    <row r="705" spans="1:49" x14ac:dyDescent="0.2">
      <c r="A705" s="1">
        <v>44022</v>
      </c>
      <c r="B705">
        <f t="shared" ref="B705:B709" si="99">B704</f>
        <v>-5.98</v>
      </c>
      <c r="C705" s="1" t="s">
        <v>59</v>
      </c>
      <c r="D705" s="1" t="s">
        <v>62</v>
      </c>
      <c r="E705" s="1" t="s">
        <v>68</v>
      </c>
      <c r="F705" s="1" t="s">
        <v>53</v>
      </c>
      <c r="G705">
        <v>1528</v>
      </c>
      <c r="H705" s="4">
        <v>26.77</v>
      </c>
      <c r="I705" s="4">
        <v>119</v>
      </c>
      <c r="J705" s="4">
        <v>45</v>
      </c>
      <c r="K705" s="4">
        <v>69.06</v>
      </c>
      <c r="L705" s="4">
        <v>136</v>
      </c>
      <c r="M705" s="4">
        <v>48</v>
      </c>
      <c r="N705" s="4">
        <v>86</v>
      </c>
      <c r="O705" s="4">
        <v>44</v>
      </c>
      <c r="P705" s="4">
        <v>20.7885250942225</v>
      </c>
      <c r="Q705" s="4">
        <v>39.509538250254302</v>
      </c>
      <c r="R705" s="4">
        <v>33</v>
      </c>
      <c r="S705" s="7" t="s">
        <v>32</v>
      </c>
      <c r="T705" s="4">
        <v>133631</v>
      </c>
      <c r="U705" s="4">
        <v>227274</v>
      </c>
      <c r="V705" s="4">
        <v>20834</v>
      </c>
      <c r="W705" s="4">
        <v>121380</v>
      </c>
      <c r="X705" s="4">
        <v>79134</v>
      </c>
      <c r="Y705" s="4">
        <v>132000</v>
      </c>
      <c r="Z705" s="4">
        <v>120000</v>
      </c>
      <c r="AA705" s="4">
        <v>17520</v>
      </c>
      <c r="AB705" s="4">
        <v>47258</v>
      </c>
      <c r="AC705" s="4">
        <v>80867</v>
      </c>
      <c r="AD705" s="4">
        <v>18619</v>
      </c>
      <c r="AE705" s="4">
        <v>8120</v>
      </c>
      <c r="AF705" s="4">
        <v>154864</v>
      </c>
      <c r="AG705" s="6">
        <v>568</v>
      </c>
      <c r="AH705" s="6">
        <v>563</v>
      </c>
      <c r="AI705" s="6">
        <v>5</v>
      </c>
      <c r="AL705" s="4">
        <v>175</v>
      </c>
      <c r="AM705" s="4">
        <v>2245</v>
      </c>
      <c r="AN705" s="4">
        <v>191</v>
      </c>
      <c r="AV705" s="4">
        <v>22</v>
      </c>
      <c r="AW705" s="4">
        <v>44</v>
      </c>
    </row>
    <row r="706" spans="1:49" x14ac:dyDescent="0.2">
      <c r="A706" s="1">
        <v>44021</v>
      </c>
      <c r="B706">
        <f t="shared" si="99"/>
        <v>-5.98</v>
      </c>
      <c r="C706" s="1" t="s">
        <v>59</v>
      </c>
      <c r="D706" s="1" t="s">
        <v>62</v>
      </c>
      <c r="E706" s="1" t="s">
        <v>68</v>
      </c>
      <c r="F706" s="1" t="s">
        <v>53</v>
      </c>
      <c r="G706">
        <v>1455</v>
      </c>
      <c r="H706" s="4">
        <v>18.41</v>
      </c>
      <c r="I706" s="4">
        <v>122</v>
      </c>
      <c r="J706" s="4">
        <v>43</v>
      </c>
      <c r="K706" s="4">
        <v>55.72</v>
      </c>
      <c r="L706" s="4">
        <v>105</v>
      </c>
      <c r="M706" s="4">
        <v>46</v>
      </c>
      <c r="N706" s="4">
        <v>82</v>
      </c>
      <c r="O706" s="4">
        <v>40</v>
      </c>
      <c r="P706" s="4">
        <v>18.934765803616301</v>
      </c>
      <c r="Q706" s="4">
        <v>37.104666861040599</v>
      </c>
      <c r="R706" s="4">
        <v>29</v>
      </c>
      <c r="S706" s="7" t="s">
        <v>32</v>
      </c>
      <c r="T706" s="4">
        <v>137604</v>
      </c>
      <c r="U706" s="4">
        <v>231823</v>
      </c>
      <c r="V706" s="4">
        <v>23935</v>
      </c>
      <c r="W706" s="4">
        <v>123880</v>
      </c>
      <c r="X706" s="4">
        <v>81683</v>
      </c>
      <c r="Y706" s="4">
        <v>134000</v>
      </c>
      <c r="Z706" s="4">
        <v>120000</v>
      </c>
      <c r="AA706" s="4">
        <v>20020</v>
      </c>
      <c r="AB706" s="4">
        <v>47426</v>
      </c>
      <c r="AC706" s="4">
        <v>84422</v>
      </c>
      <c r="AD706" s="4">
        <v>21715</v>
      </c>
      <c r="AE706" s="4">
        <v>8233</v>
      </c>
      <c r="AF706" s="4">
        <v>161796</v>
      </c>
      <c r="AG706" s="6">
        <v>722</v>
      </c>
      <c r="AH706" s="6">
        <v>713</v>
      </c>
      <c r="AI706" s="6">
        <v>9</v>
      </c>
      <c r="AL706" s="4">
        <v>214</v>
      </c>
      <c r="AM706" s="4">
        <v>2346</v>
      </c>
      <c r="AN706" s="4">
        <v>188</v>
      </c>
      <c r="AV706" s="4">
        <v>37</v>
      </c>
      <c r="AW706" s="4">
        <v>61</v>
      </c>
    </row>
    <row r="707" spans="1:49" x14ac:dyDescent="0.2">
      <c r="A707" s="1">
        <v>44020</v>
      </c>
      <c r="B707">
        <f t="shared" si="99"/>
        <v>-5.98</v>
      </c>
      <c r="C707" s="1" t="s">
        <v>59</v>
      </c>
      <c r="D707" s="1" t="s">
        <v>62</v>
      </c>
      <c r="E707" s="1" t="s">
        <v>68</v>
      </c>
      <c r="F707" s="1" t="s">
        <v>53</v>
      </c>
      <c r="G707">
        <v>1363</v>
      </c>
      <c r="H707" s="4">
        <v>16.7</v>
      </c>
      <c r="I707" s="4">
        <v>122</v>
      </c>
      <c r="J707" s="4">
        <v>43</v>
      </c>
      <c r="K707" s="4">
        <v>54.53</v>
      </c>
      <c r="L707" s="4">
        <v>95</v>
      </c>
      <c r="M707" s="4">
        <v>45</v>
      </c>
      <c r="N707" s="4">
        <v>80</v>
      </c>
      <c r="O707" s="4">
        <v>39</v>
      </c>
      <c r="P707" s="4">
        <v>18.809630127747798</v>
      </c>
      <c r="Q707" s="4">
        <v>36.426516132878497</v>
      </c>
      <c r="R707" s="4">
        <v>29</v>
      </c>
      <c r="S707" s="7" t="s">
        <v>32</v>
      </c>
      <c r="T707" s="4">
        <v>126918</v>
      </c>
      <c r="U707" s="4">
        <v>226823</v>
      </c>
      <c r="V707" s="4">
        <v>25703</v>
      </c>
      <c r="W707" s="4">
        <v>123880</v>
      </c>
      <c r="X707" s="4">
        <v>81683</v>
      </c>
      <c r="Y707" s="4">
        <v>129000</v>
      </c>
      <c r="Z707" s="4">
        <v>120000</v>
      </c>
      <c r="AA707" s="4">
        <v>20020</v>
      </c>
      <c r="AB707" s="4">
        <v>51027</v>
      </c>
      <c r="AC707" s="4">
        <v>69291</v>
      </c>
      <c r="AD707" s="4">
        <v>22147</v>
      </c>
      <c r="AE707" s="4">
        <v>10627</v>
      </c>
      <c r="AF707" s="4">
        <v>153092</v>
      </c>
      <c r="AG707" s="6">
        <v>713</v>
      </c>
      <c r="AH707" s="6">
        <v>705</v>
      </c>
      <c r="AI707" s="6">
        <v>8</v>
      </c>
      <c r="AL707" s="4">
        <v>207</v>
      </c>
      <c r="AM707" s="4">
        <v>2455</v>
      </c>
      <c r="AN707" s="4">
        <v>185</v>
      </c>
      <c r="AV707" s="4">
        <v>24</v>
      </c>
      <c r="AW707" s="4">
        <v>47</v>
      </c>
    </row>
    <row r="708" spans="1:49" x14ac:dyDescent="0.2">
      <c r="A708" s="1">
        <v>44019</v>
      </c>
      <c r="B708">
        <f t="shared" si="99"/>
        <v>-5.98</v>
      </c>
      <c r="C708" s="1" t="s">
        <v>59</v>
      </c>
      <c r="D708" s="1" t="s">
        <v>62</v>
      </c>
      <c r="E708" s="1" t="s">
        <v>68</v>
      </c>
      <c r="F708" s="1" t="s">
        <v>53</v>
      </c>
      <c r="G708">
        <v>1271</v>
      </c>
      <c r="H708" s="4">
        <v>15.85</v>
      </c>
      <c r="I708" s="4">
        <v>121</v>
      </c>
      <c r="J708" s="4">
        <v>42</v>
      </c>
      <c r="K708" s="4">
        <v>58.11</v>
      </c>
      <c r="L708" s="4">
        <v>132</v>
      </c>
      <c r="M708" s="4">
        <v>48</v>
      </c>
      <c r="N708" s="4">
        <v>82</v>
      </c>
      <c r="O708" s="4">
        <v>41</v>
      </c>
      <c r="P708" s="4">
        <v>19.143951709497198</v>
      </c>
      <c r="Q708" s="4">
        <v>37.665128399203198</v>
      </c>
      <c r="R708" s="4">
        <v>29</v>
      </c>
      <c r="S708" s="7" t="s">
        <v>32</v>
      </c>
      <c r="T708" s="4">
        <v>107847</v>
      </c>
      <c r="U708" s="4">
        <v>229823</v>
      </c>
      <c r="V708" s="4">
        <v>19261</v>
      </c>
      <c r="W708" s="4">
        <v>121380</v>
      </c>
      <c r="X708" s="4">
        <v>81683</v>
      </c>
      <c r="Y708" s="4">
        <v>132000</v>
      </c>
      <c r="Z708" s="4">
        <v>120000</v>
      </c>
      <c r="AA708" s="4">
        <v>17520</v>
      </c>
      <c r="AB708" s="4">
        <v>49319</v>
      </c>
      <c r="AC708" s="4">
        <v>51370</v>
      </c>
      <c r="AD708" s="4">
        <v>18050</v>
      </c>
      <c r="AE708" s="4">
        <v>7499</v>
      </c>
      <c r="AF708" s="4">
        <v>126238</v>
      </c>
      <c r="AG708" s="6">
        <v>608</v>
      </c>
      <c r="AH708" s="6">
        <v>601</v>
      </c>
      <c r="AI708" s="6">
        <v>7</v>
      </c>
      <c r="AL708" s="4">
        <v>215</v>
      </c>
      <c r="AM708" s="4">
        <v>2599</v>
      </c>
      <c r="AN708" s="4">
        <v>197</v>
      </c>
      <c r="AV708" s="4">
        <v>27</v>
      </c>
      <c r="AW708" s="4">
        <v>43</v>
      </c>
    </row>
    <row r="709" spans="1:49" x14ac:dyDescent="0.2">
      <c r="A709" s="1">
        <v>44018</v>
      </c>
      <c r="B709">
        <f t="shared" si="99"/>
        <v>-5.98</v>
      </c>
      <c r="C709" s="1" t="s">
        <v>59</v>
      </c>
      <c r="D709" s="1" t="s">
        <v>62</v>
      </c>
      <c r="E709" s="1" t="s">
        <v>68</v>
      </c>
      <c r="F709" s="1" t="s">
        <v>53</v>
      </c>
      <c r="G709">
        <v>1183</v>
      </c>
      <c r="H709" s="4">
        <v>16.25</v>
      </c>
      <c r="I709" s="4">
        <v>120</v>
      </c>
      <c r="J709" s="4">
        <v>43</v>
      </c>
      <c r="K709" s="4">
        <v>57.67</v>
      </c>
      <c r="L709" s="4">
        <v>153</v>
      </c>
      <c r="M709" s="4">
        <v>52</v>
      </c>
      <c r="N709" s="4">
        <v>85</v>
      </c>
      <c r="O709" s="4">
        <v>42</v>
      </c>
      <c r="P709" s="4">
        <v>19.4931607397269</v>
      </c>
      <c r="Q709" s="4">
        <v>37.938912506499499</v>
      </c>
      <c r="R709" s="4">
        <v>31</v>
      </c>
      <c r="S709" s="7" t="s">
        <v>32</v>
      </c>
      <c r="T709" s="4">
        <v>78605</v>
      </c>
      <c r="U709" s="4">
        <v>227729</v>
      </c>
      <c r="V709" s="4">
        <v>16815</v>
      </c>
      <c r="W709" s="4">
        <v>121380</v>
      </c>
      <c r="X709" s="4">
        <v>81589</v>
      </c>
      <c r="Y709" s="4">
        <v>131000</v>
      </c>
      <c r="Z709" s="4">
        <v>120000</v>
      </c>
      <c r="AA709" s="4">
        <v>16520</v>
      </c>
      <c r="AB709" s="4">
        <v>40321</v>
      </c>
      <c r="AC709" s="4">
        <v>23212</v>
      </c>
      <c r="AD709" s="4">
        <v>15750</v>
      </c>
      <c r="AE709" s="4">
        <v>15001</v>
      </c>
      <c r="AF709" s="4">
        <v>94284</v>
      </c>
      <c r="AG709" s="6">
        <v>714</v>
      </c>
      <c r="AH709" s="6">
        <v>706</v>
      </c>
      <c r="AI709" s="6">
        <v>8</v>
      </c>
      <c r="AL709" s="4">
        <v>203</v>
      </c>
      <c r="AM709" s="4">
        <v>2700</v>
      </c>
      <c r="AN709" s="4">
        <v>209</v>
      </c>
      <c r="AV709" s="4">
        <v>36</v>
      </c>
      <c r="AW709" s="4">
        <v>54</v>
      </c>
    </row>
    <row r="710" spans="1:49" x14ac:dyDescent="0.2">
      <c r="A710" s="1">
        <v>44017</v>
      </c>
      <c r="B710">
        <v>-1.27</v>
      </c>
      <c r="C710" s="1" t="s">
        <v>59</v>
      </c>
      <c r="D710" s="1" t="s">
        <v>62</v>
      </c>
      <c r="E710" s="1" t="s">
        <v>68</v>
      </c>
      <c r="F710" s="1" t="s">
        <v>53</v>
      </c>
      <c r="G710">
        <v>1094</v>
      </c>
      <c r="H710" s="4">
        <v>24.2</v>
      </c>
      <c r="I710" s="4">
        <v>107</v>
      </c>
      <c r="J710" s="4">
        <v>80</v>
      </c>
      <c r="K710" s="4">
        <v>56.97</v>
      </c>
      <c r="L710" s="4">
        <v>159</v>
      </c>
      <c r="M710" s="4">
        <v>48</v>
      </c>
      <c r="N710" s="4">
        <v>80</v>
      </c>
      <c r="O710" s="4">
        <v>50</v>
      </c>
      <c r="P710" s="4">
        <v>24.422783580609199</v>
      </c>
      <c r="Q710" s="4">
        <v>46.708956012134898</v>
      </c>
      <c r="R710" s="4">
        <v>34</v>
      </c>
      <c r="S710" s="7" t="s">
        <v>32</v>
      </c>
      <c r="T710" s="4">
        <v>92399</v>
      </c>
      <c r="U710" s="4">
        <v>209733</v>
      </c>
      <c r="V710" s="4">
        <v>4541</v>
      </c>
      <c r="W710" s="4">
        <v>101380</v>
      </c>
      <c r="X710" s="4">
        <v>68593</v>
      </c>
      <c r="Y710" s="4">
        <v>131000</v>
      </c>
      <c r="Z710" s="4">
        <v>100000</v>
      </c>
      <c r="AA710" s="4">
        <v>11520</v>
      </c>
      <c r="AB710" s="4">
        <v>37602</v>
      </c>
      <c r="AC710" s="4">
        <v>39382</v>
      </c>
      <c r="AD710" s="4">
        <v>3527</v>
      </c>
      <c r="AE710" s="4">
        <v>16804</v>
      </c>
      <c r="AF710" s="4">
        <v>97315</v>
      </c>
      <c r="AG710" s="6">
        <v>558</v>
      </c>
      <c r="AH710" s="6">
        <v>556</v>
      </c>
      <c r="AI710" s="6">
        <v>2</v>
      </c>
      <c r="AL710" s="4">
        <v>195</v>
      </c>
      <c r="AM710" s="4">
        <v>2742</v>
      </c>
      <c r="AN710" s="4">
        <v>217</v>
      </c>
      <c r="AV710" s="4">
        <v>27</v>
      </c>
      <c r="AW710" s="4">
        <v>52</v>
      </c>
    </row>
    <row r="711" spans="1:49" x14ac:dyDescent="0.2">
      <c r="A711" s="1">
        <v>44016</v>
      </c>
      <c r="B711">
        <f>B710</f>
        <v>-1.27</v>
      </c>
      <c r="C711" s="1" t="s">
        <v>59</v>
      </c>
      <c r="D711" s="1" t="s">
        <v>62</v>
      </c>
      <c r="E711" s="1" t="s">
        <v>68</v>
      </c>
      <c r="F711" s="1" t="s">
        <v>53</v>
      </c>
      <c r="G711">
        <v>1023</v>
      </c>
      <c r="H711" s="4">
        <v>7.75</v>
      </c>
      <c r="I711" s="4">
        <v>110</v>
      </c>
      <c r="J711" s="4">
        <v>77</v>
      </c>
      <c r="K711" s="4">
        <v>67.33</v>
      </c>
      <c r="L711" s="4">
        <v>100</v>
      </c>
      <c r="M711" s="4">
        <v>43</v>
      </c>
      <c r="N711" s="4">
        <v>81</v>
      </c>
      <c r="O711" s="4">
        <v>48</v>
      </c>
      <c r="P711" s="4">
        <v>20.873635468141099</v>
      </c>
      <c r="Q711" s="4">
        <v>41.468145078324497</v>
      </c>
      <c r="R711" s="4">
        <v>32</v>
      </c>
      <c r="S711" s="7" t="s">
        <v>32</v>
      </c>
      <c r="T711" s="4">
        <v>113877</v>
      </c>
      <c r="U711" s="4">
        <v>208141</v>
      </c>
      <c r="V711" s="4">
        <v>11826</v>
      </c>
      <c r="W711" s="4">
        <v>101380</v>
      </c>
      <c r="X711" s="4">
        <v>67001</v>
      </c>
      <c r="Y711" s="4">
        <v>131000</v>
      </c>
      <c r="Z711" s="4">
        <v>100000</v>
      </c>
      <c r="AA711" s="4">
        <v>11520</v>
      </c>
      <c r="AB711" s="4">
        <v>40466</v>
      </c>
      <c r="AC711" s="4">
        <v>52707</v>
      </c>
      <c r="AD711" s="4">
        <v>10282</v>
      </c>
      <c r="AE711" s="4">
        <v>22645</v>
      </c>
      <c r="AF711" s="4">
        <v>126100</v>
      </c>
      <c r="AG711" s="6">
        <v>399</v>
      </c>
      <c r="AH711" s="6">
        <v>398</v>
      </c>
      <c r="AI711" s="6">
        <v>1</v>
      </c>
      <c r="AL711" s="4">
        <v>202</v>
      </c>
      <c r="AM711" s="4">
        <v>2803</v>
      </c>
      <c r="AN711" s="4">
        <v>221</v>
      </c>
      <c r="AV711" s="4">
        <v>33</v>
      </c>
      <c r="AW711" s="4">
        <v>52</v>
      </c>
    </row>
    <row r="712" spans="1:49" x14ac:dyDescent="0.2">
      <c r="A712" s="1">
        <v>44015</v>
      </c>
      <c r="B712">
        <f t="shared" ref="B712:B716" si="100">B711</f>
        <v>-1.27</v>
      </c>
      <c r="C712" s="1" t="s">
        <v>59</v>
      </c>
      <c r="D712" s="1" t="s">
        <v>62</v>
      </c>
      <c r="E712" s="1" t="s">
        <v>68</v>
      </c>
      <c r="F712" s="1" t="s">
        <v>53</v>
      </c>
      <c r="G712">
        <v>941</v>
      </c>
      <c r="H712" s="4">
        <v>0.189999999999998</v>
      </c>
      <c r="I712" s="4">
        <v>122</v>
      </c>
      <c r="J712" s="4">
        <v>44</v>
      </c>
      <c r="K712" s="4">
        <v>57.57</v>
      </c>
      <c r="L712" s="4">
        <v>135</v>
      </c>
      <c r="M712" s="4">
        <v>42</v>
      </c>
      <c r="N712" s="4">
        <v>87</v>
      </c>
      <c r="O712" s="4">
        <v>42</v>
      </c>
      <c r="P712" s="4">
        <v>17.748729676791999</v>
      </c>
      <c r="Q712" s="4">
        <v>35.734584426513301</v>
      </c>
      <c r="R712" s="4">
        <v>28</v>
      </c>
      <c r="S712" s="7" t="s">
        <v>32</v>
      </c>
      <c r="T712" s="4">
        <v>138506</v>
      </c>
      <c r="U712" s="4">
        <v>210274</v>
      </c>
      <c r="V712" s="4">
        <v>33348</v>
      </c>
      <c r="W712" s="4">
        <v>101380</v>
      </c>
      <c r="X712" s="4">
        <v>69134</v>
      </c>
      <c r="Y712" s="4">
        <v>131000</v>
      </c>
      <c r="Z712" s="4">
        <v>100000</v>
      </c>
      <c r="AA712" s="4">
        <v>11520</v>
      </c>
      <c r="AB712" s="4">
        <v>46818</v>
      </c>
      <c r="AC712" s="4">
        <v>67360</v>
      </c>
      <c r="AD712" s="4">
        <v>30553</v>
      </c>
      <c r="AE712" s="4">
        <v>27835</v>
      </c>
      <c r="AF712" s="4">
        <v>172566</v>
      </c>
      <c r="AG712" s="6">
        <v>568</v>
      </c>
      <c r="AH712" s="6">
        <v>563</v>
      </c>
      <c r="AI712" s="6">
        <v>5</v>
      </c>
      <c r="AL712" s="4">
        <v>214</v>
      </c>
      <c r="AM712" s="4">
        <v>2943</v>
      </c>
      <c r="AN712" s="4">
        <v>231</v>
      </c>
      <c r="AV712" s="4">
        <v>29</v>
      </c>
      <c r="AW712" s="4">
        <v>48</v>
      </c>
    </row>
    <row r="713" spans="1:49" x14ac:dyDescent="0.2">
      <c r="A713" s="1">
        <v>44014</v>
      </c>
      <c r="B713">
        <f t="shared" si="100"/>
        <v>-1.27</v>
      </c>
      <c r="C713" s="1" t="s">
        <v>59</v>
      </c>
      <c r="D713" s="1" t="s">
        <v>62</v>
      </c>
      <c r="E713" s="1" t="s">
        <v>68</v>
      </c>
      <c r="F713" s="1" t="s">
        <v>53</v>
      </c>
      <c r="G713">
        <v>931</v>
      </c>
      <c r="H713" s="4">
        <v>0.28000000000000103</v>
      </c>
      <c r="I713" s="4">
        <v>123</v>
      </c>
      <c r="J713" s="4">
        <v>42</v>
      </c>
      <c r="K713" s="4">
        <v>49.51</v>
      </c>
      <c r="L713" s="4">
        <v>116</v>
      </c>
      <c r="M713" s="4">
        <v>42</v>
      </c>
      <c r="N713" s="4">
        <v>83</v>
      </c>
      <c r="O713" s="4">
        <v>38</v>
      </c>
      <c r="P713" s="4">
        <v>16.501377675642999</v>
      </c>
      <c r="Q713" s="4">
        <v>33.901088307375197</v>
      </c>
      <c r="R713" s="4">
        <v>25</v>
      </c>
      <c r="S713" s="7" t="s">
        <v>32</v>
      </c>
      <c r="T713" s="4">
        <v>135806</v>
      </c>
      <c r="U713" s="4">
        <v>212635</v>
      </c>
      <c r="V713" s="4">
        <v>33073</v>
      </c>
      <c r="W713" s="4">
        <v>103880</v>
      </c>
      <c r="X713" s="4">
        <v>71495</v>
      </c>
      <c r="Y713" s="4">
        <v>131000</v>
      </c>
      <c r="Z713" s="4">
        <v>100000</v>
      </c>
      <c r="AA713" s="4">
        <v>14020</v>
      </c>
      <c r="AB713" s="4">
        <v>46473</v>
      </c>
      <c r="AC713" s="4">
        <v>65657</v>
      </c>
      <c r="AD713" s="4">
        <v>27525</v>
      </c>
      <c r="AE713" s="4">
        <v>29604</v>
      </c>
      <c r="AF713" s="4">
        <v>169259</v>
      </c>
      <c r="AG713" s="6">
        <v>606</v>
      </c>
      <c r="AH713" s="6">
        <v>601</v>
      </c>
      <c r="AI713" s="6">
        <v>5</v>
      </c>
      <c r="AL713" s="4">
        <v>216</v>
      </c>
      <c r="AM713" s="4">
        <v>3080</v>
      </c>
      <c r="AN713" s="4">
        <v>239</v>
      </c>
      <c r="AV713" s="4">
        <v>43</v>
      </c>
      <c r="AW713" s="4">
        <v>61</v>
      </c>
    </row>
    <row r="714" spans="1:49" x14ac:dyDescent="0.2">
      <c r="A714" s="1">
        <v>44013</v>
      </c>
      <c r="B714">
        <f t="shared" si="100"/>
        <v>-1.27</v>
      </c>
      <c r="C714" s="1" t="s">
        <v>59</v>
      </c>
      <c r="D714" s="1" t="s">
        <v>62</v>
      </c>
      <c r="E714" s="1" t="s">
        <v>68</v>
      </c>
      <c r="F714" s="1" t="s">
        <v>53</v>
      </c>
      <c r="G714">
        <v>936</v>
      </c>
      <c r="H714" s="4">
        <v>0.23000000000000401</v>
      </c>
      <c r="I714" s="4">
        <v>123</v>
      </c>
      <c r="J714" s="4">
        <v>43</v>
      </c>
      <c r="K714" s="4">
        <v>51.01</v>
      </c>
      <c r="L714" s="4">
        <v>124</v>
      </c>
      <c r="M714" s="4">
        <v>42</v>
      </c>
      <c r="N714" s="4">
        <v>83</v>
      </c>
      <c r="O714" s="4">
        <v>38</v>
      </c>
      <c r="P714" s="4">
        <v>16.593241705768399</v>
      </c>
      <c r="Q714" s="4">
        <v>34.067909428145498</v>
      </c>
      <c r="R714" s="4">
        <v>25</v>
      </c>
      <c r="S714" s="7" t="s">
        <v>32</v>
      </c>
      <c r="T714" s="4">
        <v>123400</v>
      </c>
      <c r="U714" s="4">
        <v>212059</v>
      </c>
      <c r="V714" s="4">
        <v>33783</v>
      </c>
      <c r="W714" s="4">
        <v>103880</v>
      </c>
      <c r="X714" s="4">
        <v>70919</v>
      </c>
      <c r="Y714" s="4">
        <v>131000</v>
      </c>
      <c r="Z714" s="4">
        <v>100000</v>
      </c>
      <c r="AA714" s="4">
        <v>14020</v>
      </c>
      <c r="AB714" s="4">
        <v>49258</v>
      </c>
      <c r="AC714" s="4">
        <v>63378</v>
      </c>
      <c r="AD714" s="4">
        <v>29401</v>
      </c>
      <c r="AE714" s="4">
        <v>15094</v>
      </c>
      <c r="AF714" s="4">
        <v>157131</v>
      </c>
      <c r="AG714" s="6">
        <v>652</v>
      </c>
      <c r="AH714" s="6">
        <v>647</v>
      </c>
      <c r="AI714" s="6">
        <v>5</v>
      </c>
      <c r="AL714" s="4">
        <v>270</v>
      </c>
      <c r="AM714" s="4">
        <v>3199</v>
      </c>
      <c r="AN714" s="4">
        <v>259</v>
      </c>
      <c r="AV714" s="4">
        <v>26</v>
      </c>
      <c r="AW714" s="4">
        <v>54</v>
      </c>
    </row>
    <row r="715" spans="1:49" x14ac:dyDescent="0.2">
      <c r="A715" s="1">
        <v>44012</v>
      </c>
      <c r="B715">
        <f t="shared" si="100"/>
        <v>-1.27</v>
      </c>
      <c r="C715" s="1" t="s">
        <v>59</v>
      </c>
      <c r="D715" s="1" t="s">
        <v>62</v>
      </c>
      <c r="E715" s="1" t="s">
        <v>68</v>
      </c>
      <c r="F715" s="1" t="s">
        <v>53</v>
      </c>
      <c r="G715">
        <v>931</v>
      </c>
      <c r="H715" s="4">
        <v>0.15999999999999701</v>
      </c>
      <c r="I715" s="4">
        <v>123</v>
      </c>
      <c r="J715" s="4">
        <v>42</v>
      </c>
      <c r="K715" s="4">
        <v>48.58</v>
      </c>
      <c r="L715" s="4">
        <v>112</v>
      </c>
      <c r="M715" s="4">
        <v>42</v>
      </c>
      <c r="N715" s="4">
        <v>82</v>
      </c>
      <c r="O715" s="4">
        <v>37</v>
      </c>
      <c r="P715" s="4">
        <v>16.174762551016901</v>
      </c>
      <c r="Q715" s="4">
        <v>33.433122233665401</v>
      </c>
      <c r="R715" s="4">
        <v>25</v>
      </c>
      <c r="S715" s="7" t="s">
        <v>32</v>
      </c>
      <c r="T715" s="4">
        <v>112785</v>
      </c>
      <c r="U715" s="4">
        <v>212059</v>
      </c>
      <c r="V715" s="4">
        <v>32623</v>
      </c>
      <c r="W715" s="4">
        <v>101380</v>
      </c>
      <c r="X715" s="4">
        <v>70919</v>
      </c>
      <c r="Y715" s="4">
        <v>131000</v>
      </c>
      <c r="Z715" s="4">
        <v>100000</v>
      </c>
      <c r="AA715" s="4">
        <v>11520</v>
      </c>
      <c r="AB715" s="4">
        <v>47474</v>
      </c>
      <c r="AC715" s="4">
        <v>49893</v>
      </c>
      <c r="AD715" s="4">
        <v>26622</v>
      </c>
      <c r="AE715" s="4">
        <v>20798</v>
      </c>
      <c r="AF715" s="4">
        <v>144787</v>
      </c>
      <c r="AG715" s="6">
        <v>623</v>
      </c>
      <c r="AH715" s="6">
        <v>618</v>
      </c>
      <c r="AI715" s="6">
        <v>5</v>
      </c>
      <c r="AL715" s="4">
        <v>296</v>
      </c>
      <c r="AM715" s="4">
        <v>3384</v>
      </c>
      <c r="AN715" s="4">
        <v>279</v>
      </c>
      <c r="AV715" s="4">
        <v>47</v>
      </c>
      <c r="AW715" s="4">
        <v>81</v>
      </c>
    </row>
    <row r="716" spans="1:49" x14ac:dyDescent="0.2">
      <c r="A716" s="1">
        <v>44011</v>
      </c>
      <c r="B716">
        <f t="shared" si="100"/>
        <v>-1.27</v>
      </c>
      <c r="C716" s="1" t="s">
        <v>59</v>
      </c>
      <c r="D716" s="1" t="s">
        <v>62</v>
      </c>
      <c r="E716" s="1" t="s">
        <v>68</v>
      </c>
      <c r="F716" s="1" t="s">
        <v>53</v>
      </c>
      <c r="G716">
        <v>915</v>
      </c>
      <c r="H716" s="4">
        <v>4.9999999999997199E-2</v>
      </c>
      <c r="I716" s="4">
        <v>122</v>
      </c>
      <c r="J716" s="4">
        <v>42</v>
      </c>
      <c r="K716" s="4">
        <v>49.55</v>
      </c>
      <c r="L716" s="4">
        <v>134</v>
      </c>
      <c r="M716" s="4">
        <v>45</v>
      </c>
      <c r="N716" s="4">
        <v>85</v>
      </c>
      <c r="O716" s="4">
        <v>39</v>
      </c>
      <c r="P716" s="4">
        <v>16.736328012558801</v>
      </c>
      <c r="Q716" s="4">
        <v>34.177624535633498</v>
      </c>
      <c r="R716" s="4">
        <v>26</v>
      </c>
      <c r="S716" s="7" t="s">
        <v>32</v>
      </c>
      <c r="T716" s="4">
        <v>76388</v>
      </c>
      <c r="U716" s="4">
        <v>215775</v>
      </c>
      <c r="V716" s="4">
        <v>29722</v>
      </c>
      <c r="W716" s="4">
        <v>101380</v>
      </c>
      <c r="X716" s="4">
        <v>70635</v>
      </c>
      <c r="Y716" s="4">
        <v>135000</v>
      </c>
      <c r="Z716" s="4">
        <v>100000</v>
      </c>
      <c r="AA716" s="4">
        <v>11520</v>
      </c>
      <c r="AB716" s="4">
        <v>39169</v>
      </c>
      <c r="AC716" s="4">
        <v>23403</v>
      </c>
      <c r="AD716" s="4">
        <v>22559</v>
      </c>
      <c r="AE716" s="4">
        <v>20253</v>
      </c>
      <c r="AF716" s="4">
        <v>105384</v>
      </c>
      <c r="AG716" s="6">
        <v>724</v>
      </c>
      <c r="AH716" s="6">
        <v>718</v>
      </c>
      <c r="AI716" s="6">
        <v>6</v>
      </c>
      <c r="AL716" s="4">
        <v>219</v>
      </c>
      <c r="AM716" s="4">
        <v>3749</v>
      </c>
      <c r="AN716" s="4">
        <v>262</v>
      </c>
      <c r="AV716" s="4">
        <v>39</v>
      </c>
      <c r="AW716" s="4">
        <v>69</v>
      </c>
    </row>
    <row r="717" spans="1:49" x14ac:dyDescent="0.2">
      <c r="A717" s="1">
        <v>44010</v>
      </c>
      <c r="B717">
        <v>-3.61</v>
      </c>
      <c r="C717" s="1" t="s">
        <v>59</v>
      </c>
      <c r="D717" s="1" t="s">
        <v>62</v>
      </c>
      <c r="E717" s="1" t="s">
        <v>68</v>
      </c>
      <c r="F717" s="1" t="s">
        <v>53</v>
      </c>
      <c r="G717">
        <v>899</v>
      </c>
      <c r="H717" s="4">
        <v>0.15999999999999701</v>
      </c>
      <c r="I717" s="4">
        <v>109</v>
      </c>
      <c r="J717" s="4">
        <v>78</v>
      </c>
      <c r="K717" s="4">
        <v>47.73</v>
      </c>
      <c r="L717" s="4">
        <v>126</v>
      </c>
      <c r="M717" s="4">
        <v>38</v>
      </c>
      <c r="N717" s="4">
        <v>77</v>
      </c>
      <c r="O717" s="4">
        <v>45</v>
      </c>
      <c r="P717" s="4">
        <v>18.8498218108938</v>
      </c>
      <c r="Q717" s="4">
        <v>38.5165300817239</v>
      </c>
      <c r="R717" s="4">
        <v>28</v>
      </c>
      <c r="S717" s="7" t="s">
        <v>32</v>
      </c>
      <c r="T717" s="4">
        <v>82642</v>
      </c>
      <c r="U717" s="4">
        <v>212978</v>
      </c>
      <c r="V717" s="4">
        <v>7072</v>
      </c>
      <c r="W717" s="4">
        <v>81280</v>
      </c>
      <c r="X717" s="4">
        <v>67838</v>
      </c>
      <c r="Y717" s="4">
        <v>135000</v>
      </c>
      <c r="Z717" s="4">
        <v>80000</v>
      </c>
      <c r="AA717" s="4">
        <v>11420</v>
      </c>
      <c r="AB717" s="4">
        <v>30656</v>
      </c>
      <c r="AC717" s="4">
        <v>33797</v>
      </c>
      <c r="AD717" s="4">
        <v>5928</v>
      </c>
      <c r="AE717" s="4">
        <v>19848</v>
      </c>
      <c r="AF717" s="4">
        <v>90229</v>
      </c>
      <c r="AG717" s="6">
        <v>449</v>
      </c>
      <c r="AH717" s="6">
        <v>446</v>
      </c>
      <c r="AI717" s="6">
        <v>3</v>
      </c>
      <c r="AL717" s="4">
        <v>208</v>
      </c>
      <c r="AM717" s="4">
        <v>3558</v>
      </c>
      <c r="AN717" s="4">
        <v>270</v>
      </c>
      <c r="AV717" s="4">
        <v>45</v>
      </c>
      <c r="AW717" s="4">
        <v>71</v>
      </c>
    </row>
    <row r="718" spans="1:49" x14ac:dyDescent="0.2">
      <c r="A718" s="1">
        <v>44009</v>
      </c>
      <c r="B718">
        <f>B717</f>
        <v>-3.61</v>
      </c>
      <c r="C718" s="1" t="s">
        <v>59</v>
      </c>
      <c r="D718" s="1" t="s">
        <v>62</v>
      </c>
      <c r="E718" s="1" t="s">
        <v>68</v>
      </c>
      <c r="F718" s="1" t="s">
        <v>53</v>
      </c>
      <c r="G718">
        <v>877</v>
      </c>
      <c r="H718" s="4">
        <v>0.510000000000005</v>
      </c>
      <c r="I718" s="4">
        <v>112</v>
      </c>
      <c r="J718" s="4">
        <v>71</v>
      </c>
      <c r="K718" s="4">
        <v>54.54</v>
      </c>
      <c r="L718" s="4">
        <v>92</v>
      </c>
      <c r="M718" s="4">
        <v>35</v>
      </c>
      <c r="N718" s="4">
        <v>82</v>
      </c>
      <c r="O718" s="4">
        <v>43</v>
      </c>
      <c r="P718" s="4">
        <v>15.7951519301593</v>
      </c>
      <c r="Q718" s="4">
        <v>35.472118028852996</v>
      </c>
      <c r="R718" s="4">
        <v>25</v>
      </c>
      <c r="S718" s="7" t="s">
        <v>32</v>
      </c>
      <c r="T718" s="4">
        <v>100132</v>
      </c>
      <c r="U718" s="4">
        <v>209166</v>
      </c>
      <c r="V718" s="4">
        <v>17110</v>
      </c>
      <c r="W718" s="4">
        <v>81280</v>
      </c>
      <c r="X718" s="4">
        <v>68026</v>
      </c>
      <c r="Y718" s="4">
        <v>131000</v>
      </c>
      <c r="Z718" s="4">
        <v>80000</v>
      </c>
      <c r="AA718" s="4">
        <v>11420</v>
      </c>
      <c r="AB718" s="4">
        <v>40854</v>
      </c>
      <c r="AC718" s="4">
        <v>50043</v>
      </c>
      <c r="AD718" s="4">
        <v>14929</v>
      </c>
      <c r="AE718" s="4">
        <v>11915</v>
      </c>
      <c r="AF718" s="4">
        <v>117741</v>
      </c>
      <c r="AG718" s="6">
        <v>653</v>
      </c>
      <c r="AH718" s="6">
        <v>648</v>
      </c>
      <c r="AI718" s="6">
        <v>5</v>
      </c>
      <c r="AL718" s="4">
        <v>286</v>
      </c>
      <c r="AM718" s="4">
        <v>3545</v>
      </c>
      <c r="AN718" s="4">
        <v>270</v>
      </c>
      <c r="AV718" s="4">
        <v>50</v>
      </c>
      <c r="AW718" s="4">
        <v>73</v>
      </c>
    </row>
    <row r="719" spans="1:49" x14ac:dyDescent="0.2">
      <c r="A719" s="1">
        <v>44008</v>
      </c>
      <c r="B719">
        <f t="shared" ref="B719:B723" si="101">B718</f>
        <v>-3.61</v>
      </c>
      <c r="C719" s="1" t="s">
        <v>59</v>
      </c>
      <c r="D719" s="1" t="s">
        <v>62</v>
      </c>
      <c r="E719" s="1" t="s">
        <v>68</v>
      </c>
      <c r="F719" s="1" t="s">
        <v>53</v>
      </c>
      <c r="G719">
        <v>859</v>
      </c>
      <c r="H719" s="4">
        <v>0.26999999999999602</v>
      </c>
      <c r="I719" s="4">
        <v>122</v>
      </c>
      <c r="J719" s="4">
        <v>43</v>
      </c>
      <c r="K719" s="4">
        <v>59.9</v>
      </c>
      <c r="L719" s="4">
        <v>157</v>
      </c>
      <c r="M719" s="4">
        <v>39</v>
      </c>
      <c r="N719" s="4">
        <v>89</v>
      </c>
      <c r="O719" s="4">
        <v>41</v>
      </c>
      <c r="P719" s="4">
        <v>15.4126334580481</v>
      </c>
      <c r="Q719" s="4">
        <v>32.434666684434198</v>
      </c>
      <c r="R719" s="4">
        <v>27</v>
      </c>
      <c r="S719" s="7" t="s">
        <v>32</v>
      </c>
      <c r="T719" s="4">
        <v>105888</v>
      </c>
      <c r="U719" s="4">
        <v>211869</v>
      </c>
      <c r="V719" s="4">
        <v>38957</v>
      </c>
      <c r="W719" s="4">
        <v>81280</v>
      </c>
      <c r="X719" s="4">
        <v>70729</v>
      </c>
      <c r="Y719" s="4">
        <v>131000</v>
      </c>
      <c r="Z719" s="4">
        <v>80000</v>
      </c>
      <c r="AA719" s="4">
        <v>11420</v>
      </c>
      <c r="AB719" s="4">
        <v>43839</v>
      </c>
      <c r="AC719" s="4">
        <v>49553</v>
      </c>
      <c r="AD719" s="4">
        <v>35711</v>
      </c>
      <c r="AE719" s="4">
        <v>15825</v>
      </c>
      <c r="AF719" s="4">
        <v>144928</v>
      </c>
      <c r="AG719" s="6">
        <v>666</v>
      </c>
      <c r="AH719" s="6">
        <v>665</v>
      </c>
      <c r="AI719" s="6">
        <v>1</v>
      </c>
      <c r="AL719" s="4">
        <v>338</v>
      </c>
      <c r="AM719" s="4">
        <v>3621</v>
      </c>
      <c r="AN719" s="4">
        <v>268</v>
      </c>
      <c r="AV719" s="4">
        <v>42</v>
      </c>
      <c r="AW719" s="4">
        <v>79</v>
      </c>
    </row>
    <row r="720" spans="1:49" x14ac:dyDescent="0.2">
      <c r="A720" s="1">
        <v>44007</v>
      </c>
      <c r="B720">
        <f t="shared" si="101"/>
        <v>-3.61</v>
      </c>
      <c r="C720" s="1" t="s">
        <v>59</v>
      </c>
      <c r="D720" s="1" t="s">
        <v>62</v>
      </c>
      <c r="E720" s="1" t="s">
        <v>68</v>
      </c>
      <c r="F720" s="1" t="s">
        <v>53</v>
      </c>
      <c r="G720">
        <v>842</v>
      </c>
      <c r="H720" s="4">
        <v>0.39000000000000101</v>
      </c>
      <c r="I720" s="4">
        <v>122</v>
      </c>
      <c r="J720" s="4">
        <v>41</v>
      </c>
      <c r="K720" s="4">
        <v>57.66</v>
      </c>
      <c r="L720" s="4">
        <v>188</v>
      </c>
      <c r="M720" s="4">
        <v>40</v>
      </c>
      <c r="N720" s="4">
        <v>89</v>
      </c>
      <c r="O720" s="4">
        <v>39</v>
      </c>
      <c r="P720" s="4">
        <v>15.398462250876101</v>
      </c>
      <c r="Q720" s="4">
        <v>31.6788105393452</v>
      </c>
      <c r="R720" s="4">
        <v>27</v>
      </c>
      <c r="S720" s="7" t="s">
        <v>32</v>
      </c>
      <c r="T720" s="4">
        <v>107334</v>
      </c>
      <c r="U720" s="4">
        <v>211681</v>
      </c>
      <c r="V720" s="4">
        <v>47052</v>
      </c>
      <c r="W720" s="4">
        <v>81280</v>
      </c>
      <c r="X720" s="4">
        <v>70541</v>
      </c>
      <c r="Y720" s="4">
        <v>131000</v>
      </c>
      <c r="Z720" s="4">
        <v>80000</v>
      </c>
      <c r="AA720" s="4">
        <v>11420</v>
      </c>
      <c r="AB720" s="4">
        <v>42153</v>
      </c>
      <c r="AC720" s="4">
        <v>51020</v>
      </c>
      <c r="AD720" s="4">
        <v>36438</v>
      </c>
      <c r="AE720" s="4">
        <v>25565</v>
      </c>
      <c r="AF720" s="4">
        <v>155176</v>
      </c>
      <c r="AG720" s="6">
        <v>726</v>
      </c>
      <c r="AH720" s="6">
        <v>724</v>
      </c>
      <c r="AI720" s="6">
        <v>2</v>
      </c>
      <c r="AL720" s="4">
        <v>324</v>
      </c>
      <c r="AM720" s="4">
        <v>3851</v>
      </c>
      <c r="AN720" s="4">
        <v>276</v>
      </c>
      <c r="AV720" s="4">
        <v>68</v>
      </c>
      <c r="AW720" s="4">
        <v>108</v>
      </c>
    </row>
    <row r="721" spans="1:49" x14ac:dyDescent="0.2">
      <c r="A721" s="1">
        <v>44006</v>
      </c>
      <c r="B721">
        <f t="shared" si="101"/>
        <v>-3.61</v>
      </c>
      <c r="C721" s="1" t="s">
        <v>59</v>
      </c>
      <c r="D721" s="1" t="s">
        <v>62</v>
      </c>
      <c r="E721" s="1" t="s">
        <v>68</v>
      </c>
      <c r="F721" s="1" t="s">
        <v>53</v>
      </c>
      <c r="G721">
        <v>822</v>
      </c>
      <c r="H721" s="4">
        <v>0.5</v>
      </c>
      <c r="I721" s="4">
        <v>122</v>
      </c>
      <c r="J721" s="4">
        <v>42</v>
      </c>
      <c r="K721" s="4">
        <v>57.67</v>
      </c>
      <c r="L721" s="4">
        <v>189</v>
      </c>
      <c r="M721" s="4">
        <v>40</v>
      </c>
      <c r="N721" s="4">
        <v>88</v>
      </c>
      <c r="O721" s="4">
        <v>39</v>
      </c>
      <c r="P721" s="4">
        <v>15.3347617376344</v>
      </c>
      <c r="Q721" s="4">
        <v>31.238246803652999</v>
      </c>
      <c r="R721" s="4">
        <v>26</v>
      </c>
      <c r="S721" s="7" t="s">
        <v>32</v>
      </c>
      <c r="T721" s="4">
        <v>91671</v>
      </c>
      <c r="U721" s="4">
        <v>211123</v>
      </c>
      <c r="V721" s="4">
        <v>49168</v>
      </c>
      <c r="W721" s="4">
        <v>83780</v>
      </c>
      <c r="X721" s="4">
        <v>69983</v>
      </c>
      <c r="Y721" s="4">
        <v>131000</v>
      </c>
      <c r="Z721" s="4">
        <v>80000</v>
      </c>
      <c r="AA721" s="4">
        <v>13920</v>
      </c>
      <c r="AB721" s="4">
        <v>43620</v>
      </c>
      <c r="AC721" s="4">
        <v>44420</v>
      </c>
      <c r="AD721" s="4">
        <v>36102</v>
      </c>
      <c r="AE721" s="4">
        <v>16161</v>
      </c>
      <c r="AF721" s="4">
        <v>140303</v>
      </c>
      <c r="AG721" s="6">
        <v>777</v>
      </c>
      <c r="AH721" s="6">
        <v>774</v>
      </c>
      <c r="AI721" s="6">
        <v>3</v>
      </c>
      <c r="AL721" s="4">
        <v>367</v>
      </c>
      <c r="AM721" s="4">
        <v>4031</v>
      </c>
      <c r="AN721" s="4">
        <v>316</v>
      </c>
      <c r="AV721" s="4">
        <v>74</v>
      </c>
      <c r="AW721" s="4">
        <v>101</v>
      </c>
    </row>
    <row r="722" spans="1:49" x14ac:dyDescent="0.2">
      <c r="A722" s="1">
        <v>44005</v>
      </c>
      <c r="B722">
        <f t="shared" si="101"/>
        <v>-3.61</v>
      </c>
      <c r="C722" s="1" t="s">
        <v>59</v>
      </c>
      <c r="D722" s="1" t="s">
        <v>62</v>
      </c>
      <c r="E722" s="1" t="s">
        <v>68</v>
      </c>
      <c r="F722" s="1" t="s">
        <v>53</v>
      </c>
      <c r="G722">
        <v>806</v>
      </c>
      <c r="H722" s="4">
        <v>0.28000000000000103</v>
      </c>
      <c r="I722" s="4">
        <v>122</v>
      </c>
      <c r="J722" s="4">
        <v>40</v>
      </c>
      <c r="K722" s="4">
        <v>56.26</v>
      </c>
      <c r="L722" s="4">
        <v>190</v>
      </c>
      <c r="M722" s="4">
        <v>42</v>
      </c>
      <c r="N722" s="4">
        <v>87</v>
      </c>
      <c r="O722" s="4">
        <v>40</v>
      </c>
      <c r="P722" s="4">
        <v>15.3757221553206</v>
      </c>
      <c r="Q722" s="4">
        <v>31.388746690655701</v>
      </c>
      <c r="R722" s="4">
        <v>26</v>
      </c>
      <c r="S722" s="7" t="s">
        <v>32</v>
      </c>
      <c r="T722" s="4">
        <v>74200</v>
      </c>
      <c r="U722" s="4">
        <v>211139</v>
      </c>
      <c r="V722" s="4">
        <v>57034</v>
      </c>
      <c r="W722" s="4">
        <v>83780</v>
      </c>
      <c r="X722" s="4">
        <v>69999</v>
      </c>
      <c r="Y722" s="4">
        <v>131000</v>
      </c>
      <c r="Z722" s="4">
        <v>80000</v>
      </c>
      <c r="AA722" s="4">
        <v>13920</v>
      </c>
      <c r="AB722" s="4">
        <v>45784</v>
      </c>
      <c r="AC722" s="4">
        <v>20972</v>
      </c>
      <c r="AD722" s="4">
        <v>35006</v>
      </c>
      <c r="AE722" s="4">
        <v>28918</v>
      </c>
      <c r="AF722" s="4">
        <v>130680</v>
      </c>
      <c r="AG722" s="6">
        <v>883</v>
      </c>
      <c r="AH722" s="6">
        <v>877</v>
      </c>
      <c r="AI722" s="6">
        <v>6</v>
      </c>
      <c r="AL722" s="4">
        <v>362</v>
      </c>
      <c r="AM722" s="4">
        <v>4135</v>
      </c>
      <c r="AN722" s="4">
        <v>311</v>
      </c>
      <c r="AV722" s="4">
        <v>65</v>
      </c>
      <c r="AW722" s="4">
        <v>97</v>
      </c>
    </row>
    <row r="723" spans="1:49" x14ac:dyDescent="0.2">
      <c r="A723" s="1">
        <v>44004</v>
      </c>
      <c r="B723">
        <f t="shared" si="101"/>
        <v>-3.61</v>
      </c>
      <c r="C723" s="1" t="s">
        <v>59</v>
      </c>
      <c r="D723" s="1" t="s">
        <v>62</v>
      </c>
      <c r="E723" s="1" t="s">
        <v>68</v>
      </c>
      <c r="F723" s="1" t="s">
        <v>53</v>
      </c>
      <c r="G723">
        <v>798</v>
      </c>
      <c r="H723" s="4">
        <v>0.239999999999995</v>
      </c>
      <c r="I723" s="4">
        <v>122</v>
      </c>
      <c r="J723" s="4">
        <v>40</v>
      </c>
      <c r="K723" s="4">
        <v>53.72</v>
      </c>
      <c r="L723" s="4">
        <v>197</v>
      </c>
      <c r="M723" s="4">
        <v>46</v>
      </c>
      <c r="N723" s="4">
        <v>87</v>
      </c>
      <c r="O723" s="4">
        <v>40</v>
      </c>
      <c r="P723" s="4">
        <v>15.6153978503694</v>
      </c>
      <c r="Q723" s="4">
        <v>31.931665678937001</v>
      </c>
      <c r="R723" s="4">
        <v>26</v>
      </c>
      <c r="S723" s="7" t="s">
        <v>32</v>
      </c>
      <c r="T723" s="4">
        <v>63946</v>
      </c>
      <c r="U723" s="4">
        <v>213162</v>
      </c>
      <c r="V723" s="4">
        <v>39931</v>
      </c>
      <c r="W723" s="4">
        <v>81280</v>
      </c>
      <c r="X723" s="4">
        <v>68022</v>
      </c>
      <c r="Y723" s="4">
        <v>135000</v>
      </c>
      <c r="Z723" s="4">
        <v>80000</v>
      </c>
      <c r="AA723" s="4">
        <v>11420</v>
      </c>
      <c r="AB723" s="4">
        <v>36984</v>
      </c>
      <c r="AC723" s="4">
        <v>22958</v>
      </c>
      <c r="AD723" s="4">
        <v>26084</v>
      </c>
      <c r="AE723" s="4">
        <v>16931</v>
      </c>
      <c r="AF723" s="4">
        <v>102957</v>
      </c>
      <c r="AG723" s="6">
        <v>899</v>
      </c>
      <c r="AH723" s="6">
        <v>892</v>
      </c>
      <c r="AI723" s="6">
        <v>7</v>
      </c>
      <c r="AL723" s="4">
        <v>392</v>
      </c>
      <c r="AM723" s="4">
        <v>4282</v>
      </c>
      <c r="AN723" s="4">
        <v>340</v>
      </c>
      <c r="AV723" s="4">
        <v>64</v>
      </c>
      <c r="AW723" s="4">
        <v>83</v>
      </c>
    </row>
    <row r="724" spans="1:49" x14ac:dyDescent="0.2">
      <c r="A724" s="1">
        <v>44003</v>
      </c>
      <c r="B724">
        <v>-0.63</v>
      </c>
      <c r="C724" s="1" t="s">
        <v>59</v>
      </c>
      <c r="D724" s="1" t="s">
        <v>62</v>
      </c>
      <c r="E724" s="1" t="s">
        <v>68</v>
      </c>
      <c r="F724" s="1" t="s">
        <v>53</v>
      </c>
      <c r="G724">
        <v>785</v>
      </c>
      <c r="H724" s="4">
        <v>0.219999999999999</v>
      </c>
      <c r="I724" s="4">
        <v>109</v>
      </c>
      <c r="J724" s="4">
        <v>77</v>
      </c>
      <c r="K724" s="4">
        <v>42.86</v>
      </c>
      <c r="L724" s="4">
        <v>139</v>
      </c>
      <c r="M724" s="4">
        <v>37</v>
      </c>
      <c r="N724" s="4">
        <v>78</v>
      </c>
      <c r="O724" s="4">
        <v>43</v>
      </c>
      <c r="P724" s="4">
        <v>15.612238616076</v>
      </c>
      <c r="Q724" s="4">
        <v>34.8928758847184</v>
      </c>
      <c r="R724" s="4">
        <v>24</v>
      </c>
      <c r="S724" s="7" t="s">
        <v>32</v>
      </c>
      <c r="T724" s="4">
        <v>60031</v>
      </c>
      <c r="U724" s="4">
        <v>201218</v>
      </c>
      <c r="V724" s="4">
        <v>16030</v>
      </c>
      <c r="W724" s="4">
        <v>81280</v>
      </c>
      <c r="X724" s="4">
        <v>66078</v>
      </c>
      <c r="Y724" s="4">
        <v>135000</v>
      </c>
      <c r="Z724" s="4">
        <v>80000</v>
      </c>
      <c r="AA724" s="4">
        <v>1420</v>
      </c>
      <c r="AB724" s="4">
        <v>29457</v>
      </c>
      <c r="AC724" s="4">
        <v>27645</v>
      </c>
      <c r="AD724" s="4">
        <v>9902</v>
      </c>
      <c r="AE724" s="4">
        <v>9510</v>
      </c>
      <c r="AF724" s="4">
        <v>76514</v>
      </c>
      <c r="AG724" s="6">
        <v>636</v>
      </c>
      <c r="AH724" s="6">
        <v>634</v>
      </c>
      <c r="AI724" s="6">
        <v>2</v>
      </c>
      <c r="AL724" s="4">
        <v>288</v>
      </c>
      <c r="AM724" s="4">
        <v>4223</v>
      </c>
      <c r="AN724" s="4">
        <v>310</v>
      </c>
      <c r="AV724" s="4">
        <v>54</v>
      </c>
      <c r="AW724" s="4">
        <v>80</v>
      </c>
    </row>
    <row r="725" spans="1:49" x14ac:dyDescent="0.2">
      <c r="A725" s="1">
        <v>44002</v>
      </c>
      <c r="B725">
        <f>B724</f>
        <v>-0.63</v>
      </c>
      <c r="C725" s="1" t="s">
        <v>59</v>
      </c>
      <c r="D725" s="1" t="s">
        <v>62</v>
      </c>
      <c r="E725" s="1" t="s">
        <v>68</v>
      </c>
      <c r="F725" s="1" t="s">
        <v>53</v>
      </c>
      <c r="G725">
        <v>768</v>
      </c>
      <c r="H725" s="4">
        <v>0.78000000000000103</v>
      </c>
      <c r="I725" s="4">
        <v>111</v>
      </c>
      <c r="J725" s="4">
        <v>75</v>
      </c>
      <c r="K725" s="4">
        <v>63.68</v>
      </c>
      <c r="L725" s="4">
        <v>143</v>
      </c>
      <c r="M725" s="4">
        <v>37</v>
      </c>
      <c r="N725" s="4">
        <v>85</v>
      </c>
      <c r="O725" s="4">
        <v>46</v>
      </c>
      <c r="P725" s="4">
        <v>16.017162890661702</v>
      </c>
      <c r="Q725" s="4">
        <v>34.541290505626499</v>
      </c>
      <c r="R725" s="4">
        <v>27</v>
      </c>
      <c r="S725" s="7" t="s">
        <v>32</v>
      </c>
      <c r="T725" s="4">
        <v>83075</v>
      </c>
      <c r="U725" s="4">
        <v>201312</v>
      </c>
      <c r="V725" s="4">
        <v>34504</v>
      </c>
      <c r="W725" s="4">
        <v>81280</v>
      </c>
      <c r="X725" s="4">
        <v>66172</v>
      </c>
      <c r="Y725" s="4">
        <v>135000</v>
      </c>
      <c r="Z725" s="4">
        <v>80000</v>
      </c>
      <c r="AA725" s="4">
        <v>1420</v>
      </c>
      <c r="AB725" s="4">
        <v>36118</v>
      </c>
      <c r="AC725" s="4">
        <v>44446</v>
      </c>
      <c r="AD725" s="4">
        <v>20426</v>
      </c>
      <c r="AE725" s="4">
        <v>16981</v>
      </c>
      <c r="AF725" s="4">
        <v>117971</v>
      </c>
      <c r="AG725" s="6">
        <v>683</v>
      </c>
      <c r="AH725" s="6">
        <v>681</v>
      </c>
      <c r="AI725" s="6">
        <v>2</v>
      </c>
      <c r="AL725" s="4">
        <v>258</v>
      </c>
      <c r="AM725" s="4">
        <v>4253</v>
      </c>
      <c r="AN725" s="4">
        <v>346</v>
      </c>
      <c r="AV725" s="4">
        <v>60</v>
      </c>
      <c r="AW725" s="4">
        <v>87</v>
      </c>
    </row>
    <row r="726" spans="1:49" x14ac:dyDescent="0.2">
      <c r="A726" s="1">
        <v>44001</v>
      </c>
      <c r="B726">
        <f t="shared" ref="B726:B730" si="102">B725</f>
        <v>-0.63</v>
      </c>
      <c r="C726" s="1" t="s">
        <v>59</v>
      </c>
      <c r="D726" s="1" t="s">
        <v>62</v>
      </c>
      <c r="E726" s="1" t="s">
        <v>68</v>
      </c>
      <c r="F726" s="1" t="s">
        <v>53</v>
      </c>
      <c r="G726">
        <v>761</v>
      </c>
      <c r="H726" s="4">
        <v>0.20000000000000301</v>
      </c>
      <c r="I726" s="4">
        <v>124</v>
      </c>
      <c r="J726" s="4">
        <v>42</v>
      </c>
      <c r="K726" s="4">
        <v>50.43</v>
      </c>
      <c r="L726" s="4">
        <v>119</v>
      </c>
      <c r="M726" s="4">
        <v>38</v>
      </c>
      <c r="N726" s="4">
        <v>86</v>
      </c>
      <c r="O726" s="4">
        <v>38</v>
      </c>
      <c r="P726" s="4">
        <v>14.0419475077949</v>
      </c>
      <c r="Q726" s="4">
        <v>27.3923612920089</v>
      </c>
      <c r="R726" s="4">
        <v>22</v>
      </c>
      <c r="S726" s="7" t="s">
        <v>32</v>
      </c>
      <c r="T726" s="4">
        <v>90470</v>
      </c>
      <c r="U726" s="4">
        <v>199356</v>
      </c>
      <c r="V726" s="4">
        <v>42988</v>
      </c>
      <c r="W726" s="4">
        <v>81280</v>
      </c>
      <c r="X726" s="4">
        <v>68216</v>
      </c>
      <c r="Y726" s="4">
        <v>131000</v>
      </c>
      <c r="Z726" s="4">
        <v>80000</v>
      </c>
      <c r="AA726" s="4">
        <v>1420</v>
      </c>
      <c r="AB726" s="4">
        <v>40640</v>
      </c>
      <c r="AC726" s="4">
        <v>46551</v>
      </c>
      <c r="AD726" s="4">
        <v>41155</v>
      </c>
      <c r="AE726" s="4">
        <v>5189</v>
      </c>
      <c r="AF726" s="4">
        <v>133535</v>
      </c>
      <c r="AG726" s="6">
        <v>993</v>
      </c>
      <c r="AH726" s="6">
        <v>988</v>
      </c>
      <c r="AI726" s="6">
        <v>5</v>
      </c>
      <c r="AL726" s="4">
        <v>336</v>
      </c>
      <c r="AM726" s="4">
        <v>4414</v>
      </c>
      <c r="AN726" s="4">
        <v>330</v>
      </c>
      <c r="AV726" s="4">
        <v>52</v>
      </c>
      <c r="AW726" s="4">
        <v>88</v>
      </c>
    </row>
    <row r="727" spans="1:49" x14ac:dyDescent="0.2">
      <c r="A727" s="1">
        <v>44000</v>
      </c>
      <c r="B727">
        <f t="shared" si="102"/>
        <v>-0.63</v>
      </c>
      <c r="C727" s="1" t="s">
        <v>59</v>
      </c>
      <c r="D727" s="1" t="s">
        <v>62</v>
      </c>
      <c r="E727" s="1" t="s">
        <v>68</v>
      </c>
      <c r="F727" s="1" t="s">
        <v>53</v>
      </c>
      <c r="G727">
        <v>752</v>
      </c>
      <c r="H727" s="4">
        <v>0.57999999999999796</v>
      </c>
      <c r="I727" s="4">
        <v>126</v>
      </c>
      <c r="J727" s="4">
        <v>39</v>
      </c>
      <c r="K727" s="4">
        <v>42.36</v>
      </c>
      <c r="L727" s="4">
        <v>110</v>
      </c>
      <c r="M727" s="4">
        <v>37</v>
      </c>
      <c r="N727" s="4">
        <v>81</v>
      </c>
      <c r="O727" s="4">
        <v>34</v>
      </c>
      <c r="P727" s="4">
        <v>13.1475655191273</v>
      </c>
      <c r="Q727" s="4">
        <v>25.181783769615901</v>
      </c>
      <c r="R727" s="4">
        <v>20</v>
      </c>
      <c r="S727" s="7" t="s">
        <v>32</v>
      </c>
      <c r="T727" s="4">
        <v>89534</v>
      </c>
      <c r="U727" s="4">
        <v>198749</v>
      </c>
      <c r="V727" s="4">
        <v>46241</v>
      </c>
      <c r="W727" s="4">
        <v>81280</v>
      </c>
      <c r="X727" s="4">
        <v>67609</v>
      </c>
      <c r="Y727" s="4">
        <v>131000</v>
      </c>
      <c r="Z727" s="4">
        <v>80000</v>
      </c>
      <c r="AA727" s="4">
        <v>1420</v>
      </c>
      <c r="AB727" s="4">
        <v>41620</v>
      </c>
      <c r="AC727" s="4">
        <v>44959</v>
      </c>
      <c r="AD727" s="4">
        <v>44895</v>
      </c>
      <c r="AE727" s="4">
        <v>4380</v>
      </c>
      <c r="AF727" s="4">
        <v>135854</v>
      </c>
      <c r="AG727" s="6">
        <v>1022</v>
      </c>
      <c r="AH727" s="6">
        <v>1022</v>
      </c>
      <c r="AI727" s="6">
        <v>0</v>
      </c>
      <c r="AL727" s="4">
        <v>402</v>
      </c>
      <c r="AM727" s="4">
        <v>4560</v>
      </c>
      <c r="AN727" s="4">
        <v>352</v>
      </c>
      <c r="AV727" s="4">
        <v>61</v>
      </c>
      <c r="AW727" s="4">
        <v>90</v>
      </c>
    </row>
    <row r="728" spans="1:49" x14ac:dyDescent="0.2">
      <c r="A728" s="1">
        <v>43999</v>
      </c>
      <c r="B728">
        <f t="shared" si="102"/>
        <v>-0.63</v>
      </c>
      <c r="C728" s="1" t="s">
        <v>59</v>
      </c>
      <c r="D728" s="1" t="s">
        <v>62</v>
      </c>
      <c r="E728" s="1" t="s">
        <v>68</v>
      </c>
      <c r="F728" s="1" t="s">
        <v>53</v>
      </c>
      <c r="G728">
        <v>742</v>
      </c>
      <c r="H728" s="4">
        <v>0.28000000000000103</v>
      </c>
      <c r="I728" s="4">
        <v>125</v>
      </c>
      <c r="J728" s="4">
        <v>40</v>
      </c>
      <c r="K728" s="4">
        <v>42.37</v>
      </c>
      <c r="L728" s="4">
        <v>117</v>
      </c>
      <c r="M728" s="4">
        <v>37</v>
      </c>
      <c r="N728" s="4">
        <v>80</v>
      </c>
      <c r="O728" s="4">
        <v>35</v>
      </c>
      <c r="P728" s="4">
        <v>13.1403431331535</v>
      </c>
      <c r="Q728" s="4">
        <v>25.203089701357399</v>
      </c>
      <c r="R728" s="4">
        <v>20</v>
      </c>
      <c r="S728" s="7" t="s">
        <v>32</v>
      </c>
      <c r="T728" s="4">
        <v>86192</v>
      </c>
      <c r="U728" s="4">
        <v>198749</v>
      </c>
      <c r="V728" s="4">
        <v>45193</v>
      </c>
      <c r="W728" s="4">
        <v>81280</v>
      </c>
      <c r="X728" s="4">
        <v>67609</v>
      </c>
      <c r="Y728" s="4">
        <v>131000</v>
      </c>
      <c r="Z728" s="4">
        <v>80000</v>
      </c>
      <c r="AA728" s="4">
        <v>1420</v>
      </c>
      <c r="AB728" s="4">
        <v>43035</v>
      </c>
      <c r="AC728" s="4">
        <v>40829</v>
      </c>
      <c r="AD728" s="4">
        <v>44082</v>
      </c>
      <c r="AE728" s="4">
        <v>3685</v>
      </c>
      <c r="AF728" s="4">
        <v>131631</v>
      </c>
      <c r="AG728" s="6">
        <v>1017</v>
      </c>
      <c r="AH728" s="6">
        <v>1012</v>
      </c>
      <c r="AI728" s="6">
        <v>5</v>
      </c>
      <c r="AL728" s="4">
        <v>431</v>
      </c>
      <c r="AM728" s="4">
        <v>4719</v>
      </c>
      <c r="AN728" s="4">
        <v>357</v>
      </c>
      <c r="AV728" s="4">
        <v>59</v>
      </c>
      <c r="AW728" s="4">
        <v>105</v>
      </c>
    </row>
    <row r="729" spans="1:49" x14ac:dyDescent="0.2">
      <c r="A729" s="1">
        <v>43998</v>
      </c>
      <c r="B729">
        <f t="shared" si="102"/>
        <v>-0.63</v>
      </c>
      <c r="C729" s="1" t="s">
        <v>59</v>
      </c>
      <c r="D729" s="1" t="s">
        <v>62</v>
      </c>
      <c r="E729" s="1" t="s">
        <v>68</v>
      </c>
      <c r="F729" s="1" t="s">
        <v>53</v>
      </c>
      <c r="G729">
        <v>758</v>
      </c>
      <c r="H729" s="4">
        <v>0.40000000000000602</v>
      </c>
      <c r="I729" s="4">
        <v>124</v>
      </c>
      <c r="J729" s="4">
        <v>40</v>
      </c>
      <c r="K729" s="4">
        <v>47.76</v>
      </c>
      <c r="L729" s="4">
        <v>153</v>
      </c>
      <c r="M729" s="4">
        <v>41</v>
      </c>
      <c r="N729" s="4">
        <v>84</v>
      </c>
      <c r="O729" s="4">
        <v>37</v>
      </c>
      <c r="P729" s="4">
        <v>13.4763043300168</v>
      </c>
      <c r="Q729" s="4">
        <v>26.072029013190601</v>
      </c>
      <c r="R729" s="4">
        <v>21</v>
      </c>
      <c r="S729" s="7" t="s">
        <v>32</v>
      </c>
      <c r="T729" s="4">
        <v>81243</v>
      </c>
      <c r="U729" s="4">
        <v>198749</v>
      </c>
      <c r="V729" s="4">
        <v>41573</v>
      </c>
      <c r="W729" s="4">
        <v>81280</v>
      </c>
      <c r="X729" s="4">
        <v>67609</v>
      </c>
      <c r="Y729" s="4">
        <v>131000</v>
      </c>
      <c r="Z729" s="4">
        <v>80000</v>
      </c>
      <c r="AA729" s="4">
        <v>1420</v>
      </c>
      <c r="AB729" s="4">
        <v>42540</v>
      </c>
      <c r="AC729" s="4">
        <v>36422</v>
      </c>
      <c r="AD729" s="4">
        <v>39895</v>
      </c>
      <c r="AE729" s="4">
        <v>3578</v>
      </c>
      <c r="AF729" s="4">
        <v>122435</v>
      </c>
      <c r="AG729" s="6">
        <v>1103</v>
      </c>
      <c r="AH729" s="6">
        <v>1098</v>
      </c>
      <c r="AI729" s="6">
        <v>5</v>
      </c>
      <c r="AL729" s="4">
        <v>455</v>
      </c>
      <c r="AM729" s="4">
        <v>4863</v>
      </c>
      <c r="AN729" s="4">
        <v>378</v>
      </c>
      <c r="AV729" s="4">
        <v>84</v>
      </c>
      <c r="AW729" s="4">
        <v>120</v>
      </c>
    </row>
    <row r="730" spans="1:49" x14ac:dyDescent="0.2">
      <c r="A730" s="1">
        <v>43997</v>
      </c>
      <c r="B730">
        <f t="shared" si="102"/>
        <v>-0.63</v>
      </c>
      <c r="C730" s="1" t="s">
        <v>59</v>
      </c>
      <c r="D730" s="1" t="s">
        <v>62</v>
      </c>
      <c r="E730" s="1" t="s">
        <v>68</v>
      </c>
      <c r="F730" s="1" t="s">
        <v>53</v>
      </c>
      <c r="G730">
        <v>778</v>
      </c>
      <c r="H730" s="4">
        <v>0.25</v>
      </c>
      <c r="I730" s="4">
        <v>123</v>
      </c>
      <c r="J730" s="4">
        <v>41</v>
      </c>
      <c r="K730" s="4">
        <v>48.64</v>
      </c>
      <c r="L730" s="4">
        <v>158</v>
      </c>
      <c r="M730" s="4">
        <v>45</v>
      </c>
      <c r="N730" s="4">
        <v>84</v>
      </c>
      <c r="O730" s="4">
        <v>38</v>
      </c>
      <c r="P730" s="4">
        <v>14.3162432767146</v>
      </c>
      <c r="Q730" s="4">
        <v>26.511563881168101</v>
      </c>
      <c r="R730" s="4">
        <v>23</v>
      </c>
      <c r="S730" s="7" t="s">
        <v>32</v>
      </c>
      <c r="T730" s="4">
        <v>72019</v>
      </c>
      <c r="U730" s="4">
        <v>202467</v>
      </c>
      <c r="V730" s="4">
        <v>29935</v>
      </c>
      <c r="W730" s="4">
        <v>81280</v>
      </c>
      <c r="X730" s="4">
        <v>67327</v>
      </c>
      <c r="Y730" s="4">
        <v>135000</v>
      </c>
      <c r="Z730" s="4">
        <v>80000</v>
      </c>
      <c r="AA730" s="4">
        <v>1420</v>
      </c>
      <c r="AB730" s="4">
        <v>35711</v>
      </c>
      <c r="AC730" s="4">
        <v>32097</v>
      </c>
      <c r="AD730" s="4">
        <v>28186</v>
      </c>
      <c r="AE730" s="4">
        <v>5343</v>
      </c>
      <c r="AF730" s="4">
        <v>101337</v>
      </c>
      <c r="AG730" s="6">
        <v>1045</v>
      </c>
      <c r="AH730" s="6">
        <v>1043</v>
      </c>
      <c r="AI730" s="6">
        <v>2</v>
      </c>
      <c r="AL730" s="4">
        <v>439</v>
      </c>
      <c r="AM730" s="4">
        <v>4870</v>
      </c>
      <c r="AN730" s="4">
        <v>385</v>
      </c>
      <c r="AV730" s="4">
        <v>72</v>
      </c>
      <c r="AW730" s="4">
        <v>107</v>
      </c>
    </row>
    <row r="731" spans="1:49" x14ac:dyDescent="0.2">
      <c r="A731" s="1">
        <v>43996</v>
      </c>
      <c r="B731">
        <v>4.9800000000000004</v>
      </c>
      <c r="C731" s="1" t="s">
        <v>59</v>
      </c>
      <c r="D731" s="1" t="s">
        <v>62</v>
      </c>
      <c r="E731" s="1" t="s">
        <v>67</v>
      </c>
      <c r="F731" s="1" t="s">
        <v>53</v>
      </c>
      <c r="G731">
        <v>791</v>
      </c>
      <c r="H731" s="4">
        <v>0.189999999999998</v>
      </c>
      <c r="I731" s="4">
        <v>110</v>
      </c>
      <c r="J731" s="4">
        <v>73</v>
      </c>
      <c r="K731" s="4">
        <v>49.37</v>
      </c>
      <c r="L731" s="4">
        <v>171</v>
      </c>
      <c r="M731" s="4">
        <v>32</v>
      </c>
      <c r="N731" s="4">
        <v>77</v>
      </c>
      <c r="O731" s="4">
        <v>42</v>
      </c>
      <c r="P731" s="4">
        <v>12.4200748325843</v>
      </c>
      <c r="Q731" s="4">
        <v>27.302606565400499</v>
      </c>
      <c r="R731" s="4">
        <v>24</v>
      </c>
      <c r="S731" s="7" t="s">
        <v>32</v>
      </c>
      <c r="T731" s="4">
        <v>68975</v>
      </c>
      <c r="U731" s="4">
        <v>200260</v>
      </c>
      <c r="V731" s="4">
        <v>14436</v>
      </c>
      <c r="W731" s="4">
        <v>41280</v>
      </c>
      <c r="X731" s="4">
        <v>65120</v>
      </c>
      <c r="Y731" s="4">
        <v>135000</v>
      </c>
      <c r="Z731" s="4">
        <v>40000</v>
      </c>
      <c r="AA731" s="4">
        <v>1420</v>
      </c>
      <c r="AB731" s="4">
        <v>30700</v>
      </c>
      <c r="AC731" s="4">
        <v>35988</v>
      </c>
      <c r="AD731" s="4">
        <v>13452</v>
      </c>
      <c r="AE731" s="4">
        <v>3825</v>
      </c>
      <c r="AF731" s="4">
        <v>83965</v>
      </c>
      <c r="AG731" s="6">
        <v>826</v>
      </c>
      <c r="AH731" s="6">
        <v>826</v>
      </c>
      <c r="AI731" s="6">
        <v>0</v>
      </c>
      <c r="AL731" s="4">
        <v>364</v>
      </c>
      <c r="AM731" s="4">
        <v>4908</v>
      </c>
      <c r="AN731" s="4">
        <v>393</v>
      </c>
      <c r="AV731" s="4">
        <v>86</v>
      </c>
      <c r="AW731" s="4">
        <v>136</v>
      </c>
    </row>
    <row r="732" spans="1:49" x14ac:dyDescent="0.2">
      <c r="A732" s="1">
        <v>43995</v>
      </c>
      <c r="B732">
        <f>B731</f>
        <v>4.9800000000000004</v>
      </c>
      <c r="C732" s="1" t="s">
        <v>59</v>
      </c>
      <c r="D732" s="1" t="s">
        <v>62</v>
      </c>
      <c r="E732" s="1" t="s">
        <v>67</v>
      </c>
      <c r="F732" s="1" t="s">
        <v>53</v>
      </c>
      <c r="G732">
        <v>807</v>
      </c>
      <c r="H732" s="4">
        <v>0.39000000000000101</v>
      </c>
      <c r="I732" s="4">
        <v>112</v>
      </c>
      <c r="J732" s="4">
        <v>72</v>
      </c>
      <c r="K732" s="4">
        <v>63.42</v>
      </c>
      <c r="L732" s="4">
        <v>154</v>
      </c>
      <c r="M732" s="4">
        <v>31</v>
      </c>
      <c r="N732" s="4">
        <v>82</v>
      </c>
      <c r="O732" s="4">
        <v>42</v>
      </c>
      <c r="P732" s="4">
        <v>12.0983601345984</v>
      </c>
      <c r="Q732" s="4">
        <v>26.054156509515298</v>
      </c>
      <c r="R732" s="4">
        <v>24</v>
      </c>
      <c r="S732" s="7" t="s">
        <v>32</v>
      </c>
      <c r="T732" s="4">
        <v>98447</v>
      </c>
      <c r="U732" s="4">
        <v>200354</v>
      </c>
      <c r="V732" s="4">
        <v>21435</v>
      </c>
      <c r="W732" s="4">
        <v>41280</v>
      </c>
      <c r="X732" s="4">
        <v>65214</v>
      </c>
      <c r="Y732" s="4">
        <v>135000</v>
      </c>
      <c r="Z732" s="4">
        <v>40000</v>
      </c>
      <c r="AA732" s="4">
        <v>1420</v>
      </c>
      <c r="AB732" s="4">
        <v>37983</v>
      </c>
      <c r="AC732" s="4">
        <v>58061</v>
      </c>
      <c r="AD732" s="4">
        <v>21337</v>
      </c>
      <c r="AE732" s="4">
        <v>3028</v>
      </c>
      <c r="AF732" s="4">
        <v>120409</v>
      </c>
      <c r="AG732" s="6">
        <v>886</v>
      </c>
      <c r="AH732" s="6">
        <v>884</v>
      </c>
      <c r="AI732" s="6">
        <v>2</v>
      </c>
      <c r="AL732" s="4">
        <v>385</v>
      </c>
      <c r="AM732" s="4">
        <v>4941</v>
      </c>
      <c r="AN732" s="4">
        <v>390</v>
      </c>
      <c r="AV732" s="4">
        <v>63</v>
      </c>
      <c r="AW732" s="4">
        <v>101</v>
      </c>
    </row>
    <row r="733" spans="1:49" x14ac:dyDescent="0.2">
      <c r="A733" s="1">
        <v>43994</v>
      </c>
      <c r="B733">
        <f t="shared" ref="B733:B737" si="103">B732</f>
        <v>4.9800000000000004</v>
      </c>
      <c r="C733" s="1" t="s">
        <v>59</v>
      </c>
      <c r="D733" s="1" t="s">
        <v>62</v>
      </c>
      <c r="E733" s="1" t="s">
        <v>67</v>
      </c>
      <c r="F733" s="1" t="s">
        <v>53</v>
      </c>
      <c r="G733">
        <v>815</v>
      </c>
      <c r="H733" s="4">
        <v>0.39000000000000101</v>
      </c>
      <c r="I733" s="4">
        <v>127</v>
      </c>
      <c r="J733" s="4">
        <v>40</v>
      </c>
      <c r="K733" s="4">
        <v>43.84</v>
      </c>
      <c r="L733" s="4">
        <v>101</v>
      </c>
      <c r="M733" s="4">
        <v>31</v>
      </c>
      <c r="N733" s="4">
        <v>81</v>
      </c>
      <c r="O733" s="4">
        <v>34</v>
      </c>
      <c r="P733" s="4">
        <v>11.353258328596899</v>
      </c>
      <c r="Q733" s="4">
        <v>18.700764757036499</v>
      </c>
      <c r="R733" s="4">
        <v>18</v>
      </c>
      <c r="S733" s="7" t="s">
        <v>32</v>
      </c>
      <c r="T733" s="4">
        <v>98512</v>
      </c>
      <c r="U733" s="4">
        <v>188374</v>
      </c>
      <c r="V733" s="4">
        <v>48200</v>
      </c>
      <c r="W733" s="4">
        <v>41280</v>
      </c>
      <c r="X733" s="4">
        <v>67234</v>
      </c>
      <c r="Y733" s="4">
        <v>121000</v>
      </c>
      <c r="Z733" s="4">
        <v>40000</v>
      </c>
      <c r="AA733" s="4">
        <v>1420</v>
      </c>
      <c r="AB733" s="4">
        <v>40426</v>
      </c>
      <c r="AC733" s="4">
        <v>54790</v>
      </c>
      <c r="AD733" s="4">
        <v>46952</v>
      </c>
      <c r="AE733" s="4">
        <v>4931</v>
      </c>
      <c r="AF733" s="4">
        <v>147099</v>
      </c>
      <c r="AG733" s="6">
        <v>1053</v>
      </c>
      <c r="AH733" s="6">
        <v>1052</v>
      </c>
      <c r="AI733" s="6">
        <v>1</v>
      </c>
      <c r="AL733" s="4">
        <v>393</v>
      </c>
      <c r="AM733" s="4">
        <v>5090</v>
      </c>
      <c r="AN733" s="4">
        <v>393</v>
      </c>
      <c r="AV733" s="4">
        <v>80</v>
      </c>
      <c r="AW733" s="4">
        <v>135</v>
      </c>
    </row>
    <row r="734" spans="1:49" x14ac:dyDescent="0.2">
      <c r="A734" s="1">
        <v>43993</v>
      </c>
      <c r="B734">
        <f t="shared" si="103"/>
        <v>4.9800000000000004</v>
      </c>
      <c r="C734" s="1" t="s">
        <v>59</v>
      </c>
      <c r="D734" s="1" t="s">
        <v>62</v>
      </c>
      <c r="E734" s="1" t="s">
        <v>67</v>
      </c>
      <c r="F734" s="1" t="s">
        <v>53</v>
      </c>
      <c r="G734">
        <v>822</v>
      </c>
      <c r="H734" s="4">
        <v>0.79999999999999705</v>
      </c>
      <c r="I734" s="4">
        <v>127</v>
      </c>
      <c r="J734" s="4">
        <v>38</v>
      </c>
      <c r="K734" s="4">
        <v>39.619999999999997</v>
      </c>
      <c r="L734" s="4">
        <v>107</v>
      </c>
      <c r="M734" s="4">
        <v>32</v>
      </c>
      <c r="N734" s="4">
        <v>79</v>
      </c>
      <c r="O734" s="4">
        <v>32</v>
      </c>
      <c r="P734" s="4">
        <v>10.906645758615801</v>
      </c>
      <c r="Q734" s="4">
        <v>17.8996410981723</v>
      </c>
      <c r="R734" s="4">
        <v>17</v>
      </c>
      <c r="S734" s="7" t="s">
        <v>32</v>
      </c>
      <c r="T734" s="4">
        <v>102105</v>
      </c>
      <c r="U734" s="4">
        <v>188844</v>
      </c>
      <c r="V734" s="4">
        <v>47566</v>
      </c>
      <c r="W734" s="4">
        <v>41280</v>
      </c>
      <c r="X734" s="4">
        <v>67704</v>
      </c>
      <c r="Y734" s="4">
        <v>121000</v>
      </c>
      <c r="Z734" s="4">
        <v>40000</v>
      </c>
      <c r="AA734" s="4">
        <v>1420</v>
      </c>
      <c r="AB734" s="4">
        <v>40058</v>
      </c>
      <c r="AC734" s="4">
        <v>58855</v>
      </c>
      <c r="AD734" s="4">
        <v>46491</v>
      </c>
      <c r="AE734" s="4">
        <v>3940</v>
      </c>
      <c r="AF734" s="4">
        <v>149344</v>
      </c>
      <c r="AG734" s="6">
        <v>1013</v>
      </c>
      <c r="AH734" s="6">
        <v>1006</v>
      </c>
      <c r="AI734" s="6">
        <v>7</v>
      </c>
      <c r="AL734" s="4">
        <v>446</v>
      </c>
      <c r="AM734" s="4">
        <v>5179</v>
      </c>
      <c r="AN734" s="4">
        <v>390</v>
      </c>
      <c r="AV734" s="4">
        <v>81</v>
      </c>
      <c r="AW734" s="4">
        <v>121</v>
      </c>
    </row>
    <row r="735" spans="1:49" x14ac:dyDescent="0.2">
      <c r="A735" s="1">
        <v>43992</v>
      </c>
      <c r="B735">
        <f t="shared" si="103"/>
        <v>4.9800000000000004</v>
      </c>
      <c r="C735" s="1" t="s">
        <v>59</v>
      </c>
      <c r="D735" s="1" t="s">
        <v>62</v>
      </c>
      <c r="E735" s="1" t="s">
        <v>67</v>
      </c>
      <c r="F735" s="1" t="s">
        <v>53</v>
      </c>
      <c r="G735">
        <v>810</v>
      </c>
      <c r="H735" s="4">
        <v>0.42000000000000198</v>
      </c>
      <c r="I735" s="4">
        <v>128</v>
      </c>
      <c r="J735" s="4">
        <v>38</v>
      </c>
      <c r="K735" s="4">
        <v>36.090000000000003</v>
      </c>
      <c r="L735" s="4">
        <v>79</v>
      </c>
      <c r="M735" s="4">
        <v>29</v>
      </c>
      <c r="N735" s="4">
        <v>75</v>
      </c>
      <c r="O735" s="4">
        <v>31</v>
      </c>
      <c r="P735" s="4">
        <v>10.727617775462001</v>
      </c>
      <c r="Q735" s="4">
        <v>17.481663528383599</v>
      </c>
      <c r="R735" s="4">
        <v>17</v>
      </c>
      <c r="S735" s="7" t="s">
        <v>32</v>
      </c>
      <c r="T735" s="4">
        <v>101054</v>
      </c>
      <c r="U735" s="4">
        <v>187704</v>
      </c>
      <c r="V735" s="4">
        <v>44476</v>
      </c>
      <c r="W735" s="4">
        <v>42000</v>
      </c>
      <c r="X735" s="4">
        <v>66704</v>
      </c>
      <c r="Y735" s="4">
        <v>121000</v>
      </c>
      <c r="Z735" s="4">
        <v>40000</v>
      </c>
      <c r="AA735" s="4">
        <v>2000</v>
      </c>
      <c r="AB735" s="4">
        <v>43200</v>
      </c>
      <c r="AC735" s="4">
        <v>54652</v>
      </c>
      <c r="AD735" s="4">
        <v>42979</v>
      </c>
      <c r="AE735" s="4">
        <v>4678</v>
      </c>
      <c r="AF735" s="4">
        <v>145509</v>
      </c>
      <c r="AG735" s="6">
        <v>1196</v>
      </c>
      <c r="AH735" s="6">
        <v>1193</v>
      </c>
      <c r="AI735" s="6">
        <v>3</v>
      </c>
      <c r="AL735" s="4">
        <v>511</v>
      </c>
      <c r="AM735" s="4">
        <v>5475</v>
      </c>
      <c r="AN735" s="4">
        <v>439</v>
      </c>
      <c r="AV735" s="4">
        <v>109</v>
      </c>
      <c r="AW735" s="4">
        <v>166</v>
      </c>
    </row>
    <row r="736" spans="1:49" x14ac:dyDescent="0.2">
      <c r="A736" s="1">
        <v>43991</v>
      </c>
      <c r="B736">
        <f t="shared" si="103"/>
        <v>4.9800000000000004</v>
      </c>
      <c r="C736" s="1" t="s">
        <v>59</v>
      </c>
      <c r="D736" s="1" t="s">
        <v>62</v>
      </c>
      <c r="E736" s="1" t="s">
        <v>67</v>
      </c>
      <c r="F736" s="1" t="s">
        <v>53</v>
      </c>
      <c r="G736">
        <v>785</v>
      </c>
      <c r="H736" s="4">
        <v>0.70000000000000295</v>
      </c>
      <c r="I736" s="4">
        <v>125</v>
      </c>
      <c r="J736" s="4">
        <v>39</v>
      </c>
      <c r="K736" s="4">
        <v>45.35</v>
      </c>
      <c r="L736" s="4">
        <v>148</v>
      </c>
      <c r="M736" s="4">
        <v>33</v>
      </c>
      <c r="N736" s="4">
        <v>80</v>
      </c>
      <c r="O736" s="4">
        <v>34</v>
      </c>
      <c r="P736" s="4">
        <v>11.159241331805299</v>
      </c>
      <c r="Q736" s="4">
        <v>18.530210958099101</v>
      </c>
      <c r="R736" s="4">
        <v>19</v>
      </c>
      <c r="S736" s="7" t="s">
        <v>32</v>
      </c>
      <c r="T736" s="4">
        <v>94873</v>
      </c>
      <c r="U736" s="4">
        <v>187704</v>
      </c>
      <c r="V736" s="4">
        <v>38694</v>
      </c>
      <c r="W736" s="4">
        <v>42000</v>
      </c>
      <c r="X736" s="4">
        <v>66704</v>
      </c>
      <c r="Y736" s="4">
        <v>121000</v>
      </c>
      <c r="Z736" s="4">
        <v>40000</v>
      </c>
      <c r="AA736" s="4">
        <v>2000</v>
      </c>
      <c r="AB736" s="4">
        <v>43052</v>
      </c>
      <c r="AC736" s="4">
        <v>48554</v>
      </c>
      <c r="AD736" s="4">
        <v>37147</v>
      </c>
      <c r="AE736" s="4">
        <v>4349</v>
      </c>
      <c r="AF736" s="4">
        <v>133102</v>
      </c>
      <c r="AG736" s="6">
        <v>1165</v>
      </c>
      <c r="AH736" s="6">
        <v>1162</v>
      </c>
      <c r="AI736" s="6">
        <v>3</v>
      </c>
      <c r="AL736" s="4">
        <v>491</v>
      </c>
      <c r="AM736" s="4">
        <v>5736</v>
      </c>
      <c r="AN736" s="4">
        <v>491</v>
      </c>
      <c r="AV736" s="4">
        <v>90</v>
      </c>
      <c r="AW736" s="4">
        <v>137</v>
      </c>
    </row>
    <row r="737" spans="1:49" x14ac:dyDescent="0.2">
      <c r="A737" s="1">
        <v>43990</v>
      </c>
      <c r="B737">
        <f t="shared" si="103"/>
        <v>4.9800000000000004</v>
      </c>
      <c r="C737" s="1" t="s">
        <v>59</v>
      </c>
      <c r="D737" s="1" t="s">
        <v>62</v>
      </c>
      <c r="E737" s="1" t="s">
        <v>67</v>
      </c>
      <c r="F737" s="1" t="s">
        <v>53</v>
      </c>
      <c r="G737">
        <v>765</v>
      </c>
      <c r="H737" s="4">
        <v>0</v>
      </c>
      <c r="I737" s="4">
        <v>125</v>
      </c>
      <c r="J737" s="4">
        <v>39</v>
      </c>
      <c r="K737" s="4">
        <v>41.4</v>
      </c>
      <c r="L737" s="4">
        <v>133</v>
      </c>
      <c r="M737" s="4">
        <v>35</v>
      </c>
      <c r="N737" s="4">
        <v>81</v>
      </c>
      <c r="O737" s="4">
        <v>34</v>
      </c>
      <c r="P737" s="4">
        <v>11.108832620280699</v>
      </c>
      <c r="Q737" s="4">
        <v>18.504413702647099</v>
      </c>
      <c r="R737" s="4">
        <v>19</v>
      </c>
      <c r="S737" s="7" t="s">
        <v>32</v>
      </c>
      <c r="T737" s="4">
        <v>70840</v>
      </c>
      <c r="U737" s="4">
        <v>184742</v>
      </c>
      <c r="V737" s="4">
        <v>28446</v>
      </c>
      <c r="W737" s="4">
        <v>41000</v>
      </c>
      <c r="X737" s="4">
        <v>63742</v>
      </c>
      <c r="Y737" s="4">
        <v>121000</v>
      </c>
      <c r="Z737" s="4">
        <v>40000</v>
      </c>
      <c r="AA737" s="4">
        <v>1000</v>
      </c>
      <c r="AB737" s="4">
        <v>32206</v>
      </c>
      <c r="AC737" s="4">
        <v>34563</v>
      </c>
      <c r="AD737" s="4">
        <v>27978</v>
      </c>
      <c r="AE737" s="4">
        <v>3698</v>
      </c>
      <c r="AF737" s="4">
        <v>98445</v>
      </c>
      <c r="AG737" s="6">
        <v>1099</v>
      </c>
      <c r="AH737" s="6">
        <v>1097</v>
      </c>
      <c r="AI737" s="6">
        <v>2</v>
      </c>
      <c r="AL737" s="4">
        <v>412</v>
      </c>
      <c r="AM737" s="4">
        <v>5931</v>
      </c>
      <c r="AN737" s="4">
        <v>509</v>
      </c>
      <c r="AV737" s="4">
        <v>125</v>
      </c>
      <c r="AW737" s="4">
        <v>161</v>
      </c>
    </row>
    <row r="738" spans="1:49" x14ac:dyDescent="0.2">
      <c r="A738" s="1">
        <v>43989</v>
      </c>
      <c r="B738">
        <v>6.31</v>
      </c>
      <c r="C738" s="1" t="s">
        <v>59</v>
      </c>
      <c r="D738" s="1" t="s">
        <v>62</v>
      </c>
      <c r="E738" s="1" t="s">
        <v>67</v>
      </c>
      <c r="F738" s="1" t="s">
        <v>53</v>
      </c>
      <c r="G738">
        <v>751</v>
      </c>
      <c r="H738" s="4">
        <v>0</v>
      </c>
      <c r="I738" s="4">
        <v>112</v>
      </c>
      <c r="J738" s="4">
        <v>65</v>
      </c>
      <c r="K738" s="4">
        <v>41.9</v>
      </c>
      <c r="L738" s="4">
        <v>111</v>
      </c>
      <c r="M738" s="4">
        <v>28</v>
      </c>
      <c r="N738" s="4">
        <v>73</v>
      </c>
      <c r="O738" s="4">
        <v>38</v>
      </c>
      <c r="P738" s="4">
        <v>11.856436354681801</v>
      </c>
      <c r="Q738" s="4">
        <v>20.069818758919901</v>
      </c>
      <c r="R738" s="4">
        <v>20</v>
      </c>
      <c r="S738" s="7" t="s">
        <v>32</v>
      </c>
      <c r="T738" s="4">
        <v>86546</v>
      </c>
      <c r="U738" s="4">
        <v>186455</v>
      </c>
      <c r="V738" s="4">
        <v>17196</v>
      </c>
      <c r="W738" s="4">
        <v>41000</v>
      </c>
      <c r="X738" s="4">
        <v>61455</v>
      </c>
      <c r="Y738" s="4">
        <v>125000</v>
      </c>
      <c r="Z738" s="4">
        <v>40000</v>
      </c>
      <c r="AA738" s="4">
        <v>1000</v>
      </c>
      <c r="AB738" s="4">
        <v>30792</v>
      </c>
      <c r="AC738" s="4">
        <v>52998</v>
      </c>
      <c r="AD738" s="4">
        <v>16694</v>
      </c>
      <c r="AE738" s="4">
        <v>3638</v>
      </c>
      <c r="AF738" s="4">
        <v>104122</v>
      </c>
      <c r="AG738" s="6">
        <v>722</v>
      </c>
      <c r="AH738" s="6">
        <v>721</v>
      </c>
      <c r="AI738" s="6">
        <v>1</v>
      </c>
      <c r="AL738" s="4">
        <v>406</v>
      </c>
      <c r="AM738" s="4">
        <v>5944</v>
      </c>
      <c r="AN738" s="4">
        <v>515</v>
      </c>
      <c r="AV738" s="4">
        <v>128</v>
      </c>
      <c r="AW738" s="4">
        <v>163</v>
      </c>
    </row>
    <row r="739" spans="1:49" x14ac:dyDescent="0.2">
      <c r="A739" s="1">
        <v>43988</v>
      </c>
      <c r="B739">
        <f>B738</f>
        <v>6.31</v>
      </c>
      <c r="C739" s="1" t="s">
        <v>59</v>
      </c>
      <c r="D739" s="1" t="s">
        <v>62</v>
      </c>
      <c r="E739" s="1" t="s">
        <v>67</v>
      </c>
      <c r="F739" s="1" t="s">
        <v>53</v>
      </c>
      <c r="G739">
        <v>728</v>
      </c>
      <c r="H739" s="4">
        <v>0</v>
      </c>
      <c r="I739" s="4">
        <v>117</v>
      </c>
      <c r="J739" s="4">
        <v>62</v>
      </c>
      <c r="K739" s="4">
        <v>43.07</v>
      </c>
      <c r="L739" s="4">
        <v>64</v>
      </c>
      <c r="M739" s="4">
        <v>25</v>
      </c>
      <c r="N739" s="4">
        <v>73</v>
      </c>
      <c r="O739" s="4">
        <v>35</v>
      </c>
      <c r="P739" s="4">
        <v>9.9673298499492908</v>
      </c>
      <c r="Q739" s="4">
        <v>17.976055173804401</v>
      </c>
      <c r="R739" s="4">
        <v>18</v>
      </c>
      <c r="S739" s="7" t="s">
        <v>32</v>
      </c>
      <c r="T739" s="4">
        <v>92818</v>
      </c>
      <c r="U739" s="4">
        <v>186549</v>
      </c>
      <c r="V739" s="4">
        <v>24427</v>
      </c>
      <c r="W739" s="4">
        <v>41000</v>
      </c>
      <c r="X739" s="4">
        <v>61549</v>
      </c>
      <c r="Y739" s="4">
        <v>125000</v>
      </c>
      <c r="Z739" s="4">
        <v>40000</v>
      </c>
      <c r="AA739" s="4">
        <v>1000</v>
      </c>
      <c r="AB739" s="4">
        <v>35636</v>
      </c>
      <c r="AC739" s="4">
        <v>54926</v>
      </c>
      <c r="AD739" s="4">
        <v>22720</v>
      </c>
      <c r="AE739" s="4">
        <v>4299</v>
      </c>
      <c r="AF739" s="4">
        <v>117581</v>
      </c>
      <c r="AG739" s="6">
        <v>804</v>
      </c>
      <c r="AH739" s="6">
        <v>801</v>
      </c>
      <c r="AI739" s="6">
        <v>3</v>
      </c>
      <c r="AL739" s="4">
        <v>407</v>
      </c>
      <c r="AM739" s="4">
        <v>6149</v>
      </c>
      <c r="AN739" s="4">
        <v>540</v>
      </c>
      <c r="AV739" s="4">
        <v>111</v>
      </c>
      <c r="AW739" s="4">
        <v>151</v>
      </c>
    </row>
    <row r="740" spans="1:49" x14ac:dyDescent="0.2">
      <c r="A740" s="1">
        <v>43987</v>
      </c>
      <c r="B740">
        <f t="shared" ref="B740:B744" si="104">B739</f>
        <v>6.31</v>
      </c>
      <c r="C740" s="1" t="s">
        <v>59</v>
      </c>
      <c r="D740" s="1" t="s">
        <v>62</v>
      </c>
      <c r="E740" s="1" t="s">
        <v>67</v>
      </c>
      <c r="F740" s="1" t="s">
        <v>53</v>
      </c>
      <c r="G740">
        <v>718</v>
      </c>
      <c r="H740" s="4">
        <v>0</v>
      </c>
      <c r="I740" s="4">
        <v>128</v>
      </c>
      <c r="J740" s="4">
        <v>38</v>
      </c>
      <c r="K740" s="4">
        <v>41.52</v>
      </c>
      <c r="L740" s="4">
        <v>97</v>
      </c>
      <c r="M740" s="4">
        <v>29</v>
      </c>
      <c r="N740" s="4">
        <v>80</v>
      </c>
      <c r="O740" s="4">
        <v>33</v>
      </c>
      <c r="P740" s="4">
        <v>9.9968640951847494</v>
      </c>
      <c r="Q740" s="4">
        <v>7.9374920076078297</v>
      </c>
      <c r="R740" s="4">
        <v>17</v>
      </c>
      <c r="S740" s="7" t="s">
        <v>32</v>
      </c>
      <c r="T740" s="4">
        <v>101804</v>
      </c>
      <c r="U740" s="4">
        <v>188912</v>
      </c>
      <c r="V740" s="4">
        <v>43048</v>
      </c>
      <c r="W740" s="4">
        <v>41000</v>
      </c>
      <c r="X740" s="4">
        <v>63912</v>
      </c>
      <c r="Y740" s="4">
        <v>125000</v>
      </c>
      <c r="Z740" s="4">
        <v>40000</v>
      </c>
      <c r="AA740" s="4">
        <v>1000</v>
      </c>
      <c r="AB740" s="4">
        <v>37693</v>
      </c>
      <c r="AC740" s="4">
        <v>60974</v>
      </c>
      <c r="AD740" s="4">
        <v>41619</v>
      </c>
      <c r="AE740" s="4">
        <v>4723</v>
      </c>
      <c r="AF740" s="4">
        <v>145009</v>
      </c>
      <c r="AG740" s="6">
        <v>1123</v>
      </c>
      <c r="AH740" s="6">
        <v>1120</v>
      </c>
      <c r="AI740" s="6">
        <v>3</v>
      </c>
      <c r="AL740" s="4">
        <v>475</v>
      </c>
      <c r="AM740" s="4">
        <v>6379</v>
      </c>
      <c r="AN740" s="4">
        <v>554</v>
      </c>
      <c r="AV740" s="4">
        <v>123</v>
      </c>
      <c r="AW740" s="4">
        <v>184</v>
      </c>
    </row>
    <row r="741" spans="1:49" x14ac:dyDescent="0.2">
      <c r="A741" s="1">
        <v>43986</v>
      </c>
      <c r="B741">
        <f t="shared" si="104"/>
        <v>6.31</v>
      </c>
      <c r="C741" s="1" t="s">
        <v>59</v>
      </c>
      <c r="D741" s="1" t="s">
        <v>62</v>
      </c>
      <c r="E741" s="1" t="s">
        <v>67</v>
      </c>
      <c r="F741" s="1" t="s">
        <v>53</v>
      </c>
      <c r="G741">
        <v>708</v>
      </c>
      <c r="H741" s="4">
        <v>0</v>
      </c>
      <c r="I741" s="4">
        <v>128</v>
      </c>
      <c r="J741" s="4">
        <v>37</v>
      </c>
      <c r="K741" s="4">
        <v>39.53</v>
      </c>
      <c r="L741" s="4">
        <v>107</v>
      </c>
      <c r="M741" s="4">
        <v>30</v>
      </c>
      <c r="N741" s="4">
        <v>79</v>
      </c>
      <c r="O741" s="4">
        <v>32</v>
      </c>
      <c r="P741" s="4">
        <v>9.6842730544467202</v>
      </c>
      <c r="Q741" s="4">
        <v>7.7502601937000497</v>
      </c>
      <c r="R741" s="4">
        <v>17</v>
      </c>
      <c r="S741" s="7" t="s">
        <v>32</v>
      </c>
      <c r="T741" s="4">
        <v>99046</v>
      </c>
      <c r="U741" s="4">
        <v>179536</v>
      </c>
      <c r="V741" s="4">
        <v>45010</v>
      </c>
      <c r="W741" s="4">
        <v>41000</v>
      </c>
      <c r="X741" s="4">
        <v>63536</v>
      </c>
      <c r="Y741" s="4">
        <v>116000</v>
      </c>
      <c r="Z741" s="4">
        <v>40000</v>
      </c>
      <c r="AA741" s="4">
        <v>1000</v>
      </c>
      <c r="AB741" s="4">
        <v>39593</v>
      </c>
      <c r="AC741" s="4">
        <v>55852</v>
      </c>
      <c r="AD741" s="4">
        <v>42899</v>
      </c>
      <c r="AE741" s="4">
        <v>5880</v>
      </c>
      <c r="AF741" s="4">
        <v>144224</v>
      </c>
      <c r="AG741" s="6">
        <v>1249</v>
      </c>
      <c r="AH741" s="6">
        <v>1248</v>
      </c>
      <c r="AI741" s="6">
        <v>1</v>
      </c>
      <c r="AL741" s="4">
        <v>564</v>
      </c>
      <c r="AM741" s="4">
        <v>6580</v>
      </c>
      <c r="AN741" s="4">
        <v>571</v>
      </c>
      <c r="AV741" s="4">
        <v>134</v>
      </c>
      <c r="AW741" s="4">
        <v>183</v>
      </c>
    </row>
    <row r="742" spans="1:49" x14ac:dyDescent="0.2">
      <c r="A742" s="1">
        <v>43985</v>
      </c>
      <c r="B742">
        <f t="shared" si="104"/>
        <v>6.31</v>
      </c>
      <c r="C742" s="1" t="s">
        <v>59</v>
      </c>
      <c r="D742" s="1" t="s">
        <v>62</v>
      </c>
      <c r="E742" s="1" t="s">
        <v>67</v>
      </c>
      <c r="F742" s="1" t="s">
        <v>53</v>
      </c>
      <c r="G742">
        <v>696</v>
      </c>
      <c r="H742" s="4">
        <v>0</v>
      </c>
      <c r="I742" s="4">
        <v>127</v>
      </c>
      <c r="J742" s="4">
        <v>37</v>
      </c>
      <c r="K742" s="4">
        <v>40.6</v>
      </c>
      <c r="L742" s="4">
        <v>101</v>
      </c>
      <c r="M742" s="4">
        <v>29</v>
      </c>
      <c r="N742" s="4">
        <v>77</v>
      </c>
      <c r="O742" s="4">
        <v>32</v>
      </c>
      <c r="P742" s="4">
        <v>10.2038329153881</v>
      </c>
      <c r="Q742" s="4">
        <v>7.6840904718774503</v>
      </c>
      <c r="R742" s="4">
        <v>18</v>
      </c>
      <c r="S742" s="7" t="s">
        <v>32</v>
      </c>
      <c r="T742" s="4">
        <v>101739</v>
      </c>
      <c r="U742" s="4">
        <v>179307</v>
      </c>
      <c r="V742" s="4">
        <v>41772</v>
      </c>
      <c r="W742" s="4">
        <v>41000</v>
      </c>
      <c r="X742" s="4">
        <v>63307</v>
      </c>
      <c r="Y742" s="4">
        <v>116000</v>
      </c>
      <c r="Z742" s="4">
        <v>40000</v>
      </c>
      <c r="AA742" s="4">
        <v>1000</v>
      </c>
      <c r="AB742" s="4">
        <v>39735</v>
      </c>
      <c r="AC742" s="4">
        <v>56939</v>
      </c>
      <c r="AD742" s="4">
        <v>40385</v>
      </c>
      <c r="AE742" s="4">
        <v>6384</v>
      </c>
      <c r="AF742" s="4">
        <v>143443</v>
      </c>
      <c r="AG742" s="6">
        <v>1369</v>
      </c>
      <c r="AH742" s="6">
        <v>1365</v>
      </c>
      <c r="AI742" s="6">
        <v>4</v>
      </c>
      <c r="AL742" s="4">
        <v>632</v>
      </c>
      <c r="AM742" s="4">
        <v>6815</v>
      </c>
      <c r="AN742" s="4">
        <v>602</v>
      </c>
      <c r="AV742" s="4">
        <v>155</v>
      </c>
      <c r="AW742" s="4">
        <v>203</v>
      </c>
    </row>
    <row r="743" spans="1:49" x14ac:dyDescent="0.2">
      <c r="A743" s="1">
        <v>43984</v>
      </c>
      <c r="B743">
        <f t="shared" si="104"/>
        <v>6.31</v>
      </c>
      <c r="C743" s="1" t="s">
        <v>59</v>
      </c>
      <c r="D743" s="1" t="s">
        <v>62</v>
      </c>
      <c r="E743" s="1" t="s">
        <v>67</v>
      </c>
      <c r="F743" s="1" t="s">
        <v>53</v>
      </c>
      <c r="G743">
        <v>696</v>
      </c>
      <c r="H743" s="4">
        <v>0</v>
      </c>
      <c r="I743" s="4">
        <v>125</v>
      </c>
      <c r="J743" s="4">
        <v>37</v>
      </c>
      <c r="K743" s="4">
        <v>47.53</v>
      </c>
      <c r="L743" s="4">
        <v>170</v>
      </c>
      <c r="M743" s="4">
        <v>32</v>
      </c>
      <c r="N743" s="4">
        <v>82</v>
      </c>
      <c r="O743" s="4">
        <v>34</v>
      </c>
      <c r="P743" s="4">
        <v>9.9827588971810393</v>
      </c>
      <c r="Q743" s="4">
        <v>8.0282987277049092</v>
      </c>
      <c r="R743" s="4">
        <v>20</v>
      </c>
      <c r="S743" s="7" t="s">
        <v>32</v>
      </c>
      <c r="T743" s="4">
        <v>92609</v>
      </c>
      <c r="U743" s="4">
        <v>179307</v>
      </c>
      <c r="V743" s="4">
        <v>36973</v>
      </c>
      <c r="W743" s="4">
        <v>41000</v>
      </c>
      <c r="X743" s="4">
        <v>63307</v>
      </c>
      <c r="Y743" s="4">
        <v>116000</v>
      </c>
      <c r="Z743" s="4">
        <v>40000</v>
      </c>
      <c r="AA743" s="4">
        <v>1000</v>
      </c>
      <c r="AB743" s="4">
        <v>38163</v>
      </c>
      <c r="AC743" s="4">
        <v>48104</v>
      </c>
      <c r="AD743" s="4">
        <v>36013</v>
      </c>
      <c r="AE743" s="4">
        <v>6903</v>
      </c>
      <c r="AF743" s="4">
        <v>129183</v>
      </c>
      <c r="AG743" s="6">
        <v>1492</v>
      </c>
      <c r="AH743" s="6">
        <v>1489</v>
      </c>
      <c r="AI743" s="6">
        <v>3</v>
      </c>
      <c r="AL743" s="4">
        <v>668</v>
      </c>
      <c r="AM743" s="4">
        <v>7087</v>
      </c>
      <c r="AN743" s="4">
        <v>636</v>
      </c>
      <c r="AV743" s="4">
        <v>168</v>
      </c>
      <c r="AW743" s="4">
        <v>233</v>
      </c>
    </row>
    <row r="744" spans="1:49" x14ac:dyDescent="0.2">
      <c r="A744" s="1">
        <v>43983</v>
      </c>
      <c r="B744">
        <f t="shared" si="104"/>
        <v>6.31</v>
      </c>
      <c r="C744" s="1" t="s">
        <v>59</v>
      </c>
      <c r="D744" s="1" t="s">
        <v>62</v>
      </c>
      <c r="E744" s="1" t="s">
        <v>67</v>
      </c>
      <c r="F744" s="1" t="s">
        <v>53</v>
      </c>
      <c r="G744">
        <v>698</v>
      </c>
      <c r="H744" s="4">
        <v>0</v>
      </c>
      <c r="I744" s="4">
        <v>125</v>
      </c>
      <c r="J744" s="4">
        <v>37</v>
      </c>
      <c r="K744" s="4">
        <v>45.67</v>
      </c>
      <c r="L744" s="4">
        <v>175</v>
      </c>
      <c r="M744" s="4">
        <v>35</v>
      </c>
      <c r="N744" s="4">
        <v>84</v>
      </c>
      <c r="O744" s="4">
        <v>35</v>
      </c>
      <c r="P744" s="4">
        <v>10.122402550471801</v>
      </c>
      <c r="Q744" s="4">
        <v>8.1786622721213895</v>
      </c>
      <c r="R744" s="4">
        <v>20</v>
      </c>
      <c r="S744" s="7" t="s">
        <v>32</v>
      </c>
      <c r="T744" s="4">
        <v>70760</v>
      </c>
      <c r="U744" s="4">
        <v>179213</v>
      </c>
      <c r="V744" s="4">
        <v>30947</v>
      </c>
      <c r="W744" s="4">
        <v>41000</v>
      </c>
      <c r="X744" s="4">
        <v>63213</v>
      </c>
      <c r="Y744" s="4">
        <v>116000</v>
      </c>
      <c r="Z744" s="4">
        <v>40000</v>
      </c>
      <c r="AA744" s="4">
        <v>1000</v>
      </c>
      <c r="AB744" s="4">
        <v>29998</v>
      </c>
      <c r="AC744" s="4">
        <v>34765</v>
      </c>
      <c r="AD744" s="4">
        <v>30357</v>
      </c>
      <c r="AE744" s="4">
        <v>6451</v>
      </c>
      <c r="AF744" s="4">
        <v>101571</v>
      </c>
      <c r="AG744" s="6">
        <v>1439</v>
      </c>
      <c r="AH744" s="6">
        <v>1438</v>
      </c>
      <c r="AI744" s="6">
        <v>1</v>
      </c>
      <c r="AL744" s="4">
        <v>605</v>
      </c>
      <c r="AM744" s="4">
        <v>7248</v>
      </c>
      <c r="AN744" s="4">
        <v>652</v>
      </c>
      <c r="AV744" s="4">
        <v>134</v>
      </c>
      <c r="AW744" s="4">
        <v>199</v>
      </c>
    </row>
    <row r="745" spans="1:49" x14ac:dyDescent="0.2">
      <c r="A745" s="1">
        <v>43982</v>
      </c>
      <c r="B745">
        <v>18.47</v>
      </c>
      <c r="C745" s="1" t="s">
        <v>58</v>
      </c>
      <c r="D745" s="1" t="s">
        <v>62</v>
      </c>
      <c r="E745" s="1" t="s">
        <v>67</v>
      </c>
      <c r="F745" s="1" t="s">
        <v>53</v>
      </c>
      <c r="G745">
        <v>677</v>
      </c>
      <c r="H745" s="4">
        <v>0</v>
      </c>
      <c r="I745" s="4">
        <v>111</v>
      </c>
      <c r="J745" s="4">
        <v>67</v>
      </c>
      <c r="K745" s="4">
        <v>48.5</v>
      </c>
      <c r="L745" s="4">
        <v>168</v>
      </c>
      <c r="M745" s="4">
        <v>27</v>
      </c>
      <c r="N745" s="4">
        <v>75</v>
      </c>
      <c r="O745" s="4">
        <v>39</v>
      </c>
      <c r="P745" s="4">
        <v>9.6068621616630097</v>
      </c>
      <c r="Q745" s="4">
        <v>8.7962456924988892</v>
      </c>
      <c r="R745" s="4">
        <v>21</v>
      </c>
      <c r="S745" s="7" t="s">
        <v>33</v>
      </c>
      <c r="T745" s="4">
        <v>82636</v>
      </c>
      <c r="U745" s="4">
        <v>166540</v>
      </c>
      <c r="V745" s="4">
        <v>23191</v>
      </c>
      <c r="W745" s="4">
        <v>41000</v>
      </c>
      <c r="X745" s="4">
        <v>53540</v>
      </c>
      <c r="Y745" s="4">
        <v>113000</v>
      </c>
      <c r="Z745" s="4">
        <v>40000</v>
      </c>
      <c r="AA745" s="4">
        <v>1000</v>
      </c>
      <c r="AB745" s="4">
        <v>27520</v>
      </c>
      <c r="AC745" s="4">
        <v>47743</v>
      </c>
      <c r="AD745" s="4">
        <v>23110</v>
      </c>
      <c r="AE745" s="4">
        <v>7061</v>
      </c>
      <c r="AF745" s="4">
        <v>105434</v>
      </c>
      <c r="AG745" s="6">
        <v>1080</v>
      </c>
      <c r="AH745" s="6">
        <v>1080</v>
      </c>
      <c r="AI745" s="6">
        <v>0</v>
      </c>
      <c r="AL745" s="4">
        <v>528</v>
      </c>
      <c r="AM745" s="4">
        <v>7238</v>
      </c>
      <c r="AN745" s="4">
        <v>679</v>
      </c>
      <c r="AV745" s="4">
        <v>127</v>
      </c>
      <c r="AW745" s="4">
        <v>195</v>
      </c>
    </row>
    <row r="746" spans="1:49" x14ac:dyDescent="0.2">
      <c r="A746" s="1">
        <v>43981</v>
      </c>
      <c r="B746">
        <f>B745</f>
        <v>18.47</v>
      </c>
      <c r="C746" s="1" t="s">
        <v>58</v>
      </c>
      <c r="D746" s="1" t="s">
        <v>62</v>
      </c>
      <c r="E746" s="1" t="s">
        <v>67</v>
      </c>
      <c r="F746" s="1" t="s">
        <v>53</v>
      </c>
      <c r="G746">
        <v>672</v>
      </c>
      <c r="H746" s="4">
        <v>0</v>
      </c>
      <c r="I746" s="4">
        <v>114</v>
      </c>
      <c r="J746" s="4">
        <v>65</v>
      </c>
      <c r="K746" s="4">
        <v>58.3</v>
      </c>
      <c r="L746" s="4">
        <v>148</v>
      </c>
      <c r="M746" s="4">
        <v>26</v>
      </c>
      <c r="N746" s="4">
        <v>80</v>
      </c>
      <c r="O746" s="4">
        <v>39</v>
      </c>
      <c r="P746" s="4">
        <v>8.3646925247002208</v>
      </c>
      <c r="Q746" s="4">
        <v>8.0917079890439698</v>
      </c>
      <c r="R746" s="4">
        <v>19</v>
      </c>
      <c r="S746" s="7" t="s">
        <v>33</v>
      </c>
      <c r="T746" s="4">
        <v>96867</v>
      </c>
      <c r="U746" s="4">
        <v>164634</v>
      </c>
      <c r="V746" s="4">
        <v>23205</v>
      </c>
      <c r="W746" s="4">
        <v>41000</v>
      </c>
      <c r="X746" s="4">
        <v>53634</v>
      </c>
      <c r="Y746" s="4">
        <v>111000</v>
      </c>
      <c r="Z746" s="4">
        <v>40000</v>
      </c>
      <c r="AA746" s="4">
        <v>1000</v>
      </c>
      <c r="AB746" s="4">
        <v>31755</v>
      </c>
      <c r="AC746" s="4">
        <v>58112</v>
      </c>
      <c r="AE746" s="4">
        <v>7520</v>
      </c>
      <c r="AF746" s="4">
        <v>97387</v>
      </c>
      <c r="AG746" s="6">
        <v>1132</v>
      </c>
      <c r="AH746" s="6">
        <v>1129</v>
      </c>
      <c r="AI746" s="6">
        <v>3</v>
      </c>
      <c r="AL746" s="4">
        <v>568</v>
      </c>
      <c r="AM746" s="4">
        <v>7268</v>
      </c>
      <c r="AN746" s="4">
        <v>704</v>
      </c>
      <c r="AV746" s="4">
        <v>163</v>
      </c>
      <c r="AW746" s="4">
        <v>219</v>
      </c>
    </row>
    <row r="747" spans="1:49" x14ac:dyDescent="0.2">
      <c r="A747" s="1">
        <v>43980</v>
      </c>
      <c r="B747">
        <f t="shared" ref="B747:B751" si="105">B746</f>
        <v>18.47</v>
      </c>
      <c r="C747" s="1" t="s">
        <v>58</v>
      </c>
      <c r="D747" s="1" t="s">
        <v>62</v>
      </c>
      <c r="E747" s="1" t="s">
        <v>67</v>
      </c>
      <c r="F747" s="1" t="s">
        <v>53</v>
      </c>
      <c r="G747">
        <v>663</v>
      </c>
      <c r="H747" s="4">
        <v>0</v>
      </c>
      <c r="I747" s="4">
        <v>127</v>
      </c>
      <c r="J747" s="4">
        <v>36</v>
      </c>
      <c r="K747" s="4">
        <v>49.3</v>
      </c>
      <c r="L747" s="4">
        <v>161</v>
      </c>
      <c r="M747" s="4">
        <v>29</v>
      </c>
      <c r="N747" s="4">
        <v>84</v>
      </c>
      <c r="O747" s="4">
        <v>34</v>
      </c>
      <c r="P747" s="4">
        <v>8.5046266136106698</v>
      </c>
      <c r="Q747" s="4">
        <v>1.1004595831200401</v>
      </c>
      <c r="R747" s="4">
        <v>18</v>
      </c>
      <c r="S747" s="7" t="s">
        <v>33</v>
      </c>
      <c r="T747" s="4">
        <v>105326</v>
      </c>
      <c r="U747" s="4">
        <v>165443</v>
      </c>
      <c r="W747" s="4">
        <v>41000</v>
      </c>
      <c r="X747" s="4">
        <v>55443</v>
      </c>
      <c r="Y747" s="4">
        <v>110000</v>
      </c>
      <c r="Z747" s="4">
        <v>40000</v>
      </c>
      <c r="AA747" s="4">
        <v>1000</v>
      </c>
      <c r="AB747" s="4">
        <v>37085</v>
      </c>
      <c r="AC747" s="4">
        <v>58465</v>
      </c>
      <c r="AE747" s="4">
        <v>11002</v>
      </c>
      <c r="AF747" s="4">
        <v>106552</v>
      </c>
      <c r="AG747" s="6">
        <v>1531</v>
      </c>
      <c r="AH747" s="6">
        <v>1528</v>
      </c>
      <c r="AI747" s="6">
        <v>3</v>
      </c>
      <c r="AL747" s="4">
        <v>614</v>
      </c>
      <c r="AM747" s="4">
        <v>7586</v>
      </c>
      <c r="AN747" s="4">
        <v>719</v>
      </c>
      <c r="AV747" s="4">
        <v>186</v>
      </c>
      <c r="AW747" s="4">
        <v>254</v>
      </c>
    </row>
    <row r="748" spans="1:49" x14ac:dyDescent="0.2">
      <c r="A748" s="1">
        <v>43979</v>
      </c>
      <c r="B748">
        <f t="shared" si="105"/>
        <v>18.47</v>
      </c>
      <c r="C748" s="1" t="s">
        <v>58</v>
      </c>
      <c r="D748" s="1" t="s">
        <v>62</v>
      </c>
      <c r="E748" s="1" t="s">
        <v>67</v>
      </c>
      <c r="F748" s="1" t="s">
        <v>53</v>
      </c>
      <c r="G748">
        <v>650</v>
      </c>
      <c r="H748" s="4">
        <v>0</v>
      </c>
      <c r="I748" s="4">
        <v>128</v>
      </c>
      <c r="J748" s="4">
        <v>34</v>
      </c>
      <c r="K748" s="4">
        <v>45.73</v>
      </c>
      <c r="L748" s="4">
        <v>166</v>
      </c>
      <c r="M748" s="4">
        <v>30</v>
      </c>
      <c r="N748" s="4">
        <v>82</v>
      </c>
      <c r="O748" s="4">
        <v>32</v>
      </c>
      <c r="P748" s="4">
        <v>8.2859714763962007</v>
      </c>
      <c r="Q748" s="4">
        <v>1.0478521179323299</v>
      </c>
      <c r="R748" s="4">
        <v>17</v>
      </c>
      <c r="S748" s="7" t="s">
        <v>33</v>
      </c>
      <c r="T748" s="4">
        <v>100969</v>
      </c>
      <c r="U748" s="4">
        <v>163255</v>
      </c>
      <c r="W748" s="4">
        <v>1000</v>
      </c>
      <c r="X748" s="4">
        <v>55255</v>
      </c>
      <c r="Y748" s="4">
        <v>108000</v>
      </c>
      <c r="AA748" s="4">
        <v>1000</v>
      </c>
      <c r="AB748" s="4">
        <v>37933</v>
      </c>
      <c r="AC748" s="4">
        <v>46701</v>
      </c>
      <c r="AE748" s="4">
        <v>18100</v>
      </c>
      <c r="AF748" s="4">
        <v>102734</v>
      </c>
      <c r="AG748" s="6">
        <v>1757</v>
      </c>
      <c r="AH748" s="6">
        <v>1753</v>
      </c>
      <c r="AI748" s="6">
        <v>4</v>
      </c>
      <c r="AL748" s="4">
        <v>702</v>
      </c>
      <c r="AM748" s="4">
        <v>7907</v>
      </c>
      <c r="AN748" s="4">
        <v>751</v>
      </c>
      <c r="AV748" s="4">
        <v>217</v>
      </c>
      <c r="AW748" s="4">
        <v>288</v>
      </c>
    </row>
    <row r="749" spans="1:49" x14ac:dyDescent="0.2">
      <c r="A749" s="1">
        <v>43978</v>
      </c>
      <c r="B749">
        <f t="shared" si="105"/>
        <v>18.47</v>
      </c>
      <c r="C749" s="1" t="s">
        <v>58</v>
      </c>
      <c r="D749" s="1" t="s">
        <v>62</v>
      </c>
      <c r="E749" s="1" t="s">
        <v>67</v>
      </c>
      <c r="F749" s="1" t="s">
        <v>53</v>
      </c>
      <c r="G749">
        <v>658</v>
      </c>
      <c r="H749" s="4">
        <v>0</v>
      </c>
      <c r="I749" s="4">
        <v>127</v>
      </c>
      <c r="J749" s="4">
        <v>34</v>
      </c>
      <c r="K749" s="4">
        <v>43.93</v>
      </c>
      <c r="L749" s="4">
        <v>154</v>
      </c>
      <c r="M749" s="4">
        <v>29</v>
      </c>
      <c r="N749" s="4">
        <v>80</v>
      </c>
      <c r="O749" s="4">
        <v>31</v>
      </c>
      <c r="P749" s="4">
        <v>8.0904829374768905</v>
      </c>
      <c r="Q749" s="4">
        <v>1.0039665084993801</v>
      </c>
      <c r="R749" s="4">
        <v>17</v>
      </c>
      <c r="S749" s="7" t="s">
        <v>33</v>
      </c>
      <c r="T749" s="4">
        <v>82558</v>
      </c>
      <c r="U749" s="4">
        <v>161164</v>
      </c>
      <c r="W749" s="4">
        <v>1000</v>
      </c>
      <c r="X749" s="4">
        <v>54164</v>
      </c>
      <c r="Y749" s="4">
        <v>107000</v>
      </c>
      <c r="AA749" s="4">
        <v>1000</v>
      </c>
      <c r="AB749" s="4">
        <v>35670</v>
      </c>
      <c r="AC749" s="4">
        <v>34659</v>
      </c>
      <c r="AE749" s="4">
        <v>12685</v>
      </c>
      <c r="AF749" s="4">
        <v>83014</v>
      </c>
      <c r="AG749" s="6">
        <v>1825</v>
      </c>
      <c r="AH749" s="6">
        <v>1823</v>
      </c>
      <c r="AI749" s="6">
        <v>2</v>
      </c>
      <c r="AL749" s="4">
        <v>712</v>
      </c>
      <c r="AM749" s="4">
        <v>8220</v>
      </c>
      <c r="AN749" s="4">
        <v>783</v>
      </c>
      <c r="AV749" s="4">
        <v>198</v>
      </c>
      <c r="AW749" s="4">
        <v>282</v>
      </c>
    </row>
    <row r="750" spans="1:49" x14ac:dyDescent="0.2">
      <c r="A750" s="1">
        <v>43977</v>
      </c>
      <c r="B750">
        <f t="shared" si="105"/>
        <v>18.47</v>
      </c>
      <c r="C750" s="1" t="s">
        <v>58</v>
      </c>
      <c r="D750" s="1" t="s">
        <v>62</v>
      </c>
      <c r="E750" s="1" t="s">
        <v>67</v>
      </c>
      <c r="F750" s="1" t="s">
        <v>53</v>
      </c>
      <c r="G750">
        <v>650</v>
      </c>
      <c r="H750" s="4">
        <v>0</v>
      </c>
      <c r="I750" s="4">
        <v>127</v>
      </c>
      <c r="J750" s="4">
        <v>33</v>
      </c>
      <c r="K750" s="4">
        <v>44.11</v>
      </c>
      <c r="L750" s="4">
        <v>157</v>
      </c>
      <c r="M750" s="4">
        <v>30</v>
      </c>
      <c r="N750" s="4">
        <v>81</v>
      </c>
      <c r="O750" s="4">
        <v>32</v>
      </c>
      <c r="P750" s="4">
        <v>8.0893081418556498</v>
      </c>
      <c r="Q750" s="4">
        <v>0.98152962695555102</v>
      </c>
      <c r="R750" s="4">
        <v>17</v>
      </c>
      <c r="S750" s="7" t="s">
        <v>33</v>
      </c>
      <c r="T750" s="4">
        <v>77862</v>
      </c>
      <c r="U750" s="4">
        <v>160164</v>
      </c>
      <c r="W750" s="4">
        <v>1050</v>
      </c>
      <c r="X750" s="4">
        <v>54164</v>
      </c>
      <c r="Y750" s="4">
        <v>106000</v>
      </c>
      <c r="AA750" s="4">
        <v>1050</v>
      </c>
      <c r="AB750" s="4">
        <v>29708</v>
      </c>
      <c r="AC750" s="4">
        <v>34057</v>
      </c>
      <c r="AE750" s="4">
        <v>14334</v>
      </c>
      <c r="AF750" s="4">
        <v>78099</v>
      </c>
      <c r="AG750" s="6">
        <v>2070</v>
      </c>
      <c r="AH750" s="6">
        <v>2069</v>
      </c>
      <c r="AI750" s="6">
        <v>1</v>
      </c>
      <c r="AL750" s="4">
        <v>698</v>
      </c>
      <c r="AM750" s="4">
        <v>8732</v>
      </c>
      <c r="AN750" s="4">
        <v>847</v>
      </c>
      <c r="AV750" s="4">
        <v>214</v>
      </c>
      <c r="AW750" s="4">
        <v>300</v>
      </c>
    </row>
    <row r="751" spans="1:49" x14ac:dyDescent="0.2">
      <c r="A751" s="1">
        <v>43976</v>
      </c>
      <c r="B751">
        <f t="shared" si="105"/>
        <v>18.47</v>
      </c>
      <c r="C751" s="1" t="s">
        <v>58</v>
      </c>
      <c r="D751" s="1" t="s">
        <v>62</v>
      </c>
      <c r="E751" s="1" t="s">
        <v>67</v>
      </c>
      <c r="F751" s="1" t="s">
        <v>53</v>
      </c>
      <c r="G751">
        <v>639</v>
      </c>
      <c r="H751" s="4">
        <v>0</v>
      </c>
      <c r="I751" s="4">
        <v>128</v>
      </c>
      <c r="J751" s="4">
        <v>18</v>
      </c>
      <c r="K751" s="4">
        <v>51.69</v>
      </c>
      <c r="L751" s="4">
        <v>260</v>
      </c>
      <c r="M751" s="4">
        <v>30</v>
      </c>
      <c r="N751" s="4">
        <v>77</v>
      </c>
      <c r="O751" s="4">
        <v>28</v>
      </c>
      <c r="P751" s="4">
        <v>4.6530115714222902</v>
      </c>
      <c r="Q751" s="4">
        <v>0.65458906934669703</v>
      </c>
      <c r="R751" s="4">
        <v>20</v>
      </c>
      <c r="S751" s="7" t="s">
        <v>33</v>
      </c>
      <c r="T751" s="4">
        <v>79376</v>
      </c>
      <c r="U751" s="4">
        <v>153070</v>
      </c>
      <c r="W751" s="4">
        <v>1050</v>
      </c>
      <c r="X751" s="4">
        <v>54070</v>
      </c>
      <c r="Y751" s="4">
        <v>89000</v>
      </c>
      <c r="AA751" s="4">
        <v>11050</v>
      </c>
      <c r="AB751" s="4">
        <v>26780</v>
      </c>
      <c r="AC751" s="4">
        <v>42601</v>
      </c>
      <c r="AE751" s="4">
        <v>9097</v>
      </c>
      <c r="AF751" s="4">
        <v>78478</v>
      </c>
      <c r="AG751" s="6">
        <v>1625</v>
      </c>
      <c r="AH751" s="6">
        <v>1622</v>
      </c>
      <c r="AI751" s="6">
        <v>3</v>
      </c>
      <c r="AL751" s="4">
        <v>602</v>
      </c>
      <c r="AM751" s="4">
        <v>8836</v>
      </c>
      <c r="AN751" s="4">
        <v>863</v>
      </c>
      <c r="AV751" s="4">
        <v>200</v>
      </c>
      <c r="AW751" s="4">
        <v>279</v>
      </c>
    </row>
    <row r="752" spans="1:49" x14ac:dyDescent="0.2">
      <c r="A752" s="1">
        <v>43975</v>
      </c>
      <c r="B752">
        <v>22.01</v>
      </c>
      <c r="C752" s="1" t="s">
        <v>58</v>
      </c>
      <c r="D752" s="1" t="s">
        <v>62</v>
      </c>
      <c r="E752" s="1" t="s">
        <v>67</v>
      </c>
      <c r="F752" s="1" t="s">
        <v>53</v>
      </c>
      <c r="G752">
        <v>641</v>
      </c>
      <c r="H752" s="4">
        <v>0</v>
      </c>
      <c r="I752" s="4">
        <v>112</v>
      </c>
      <c r="J752" s="4">
        <v>57</v>
      </c>
      <c r="K752" s="4">
        <v>44.9</v>
      </c>
      <c r="L752" s="4">
        <v>147</v>
      </c>
      <c r="M752" s="4">
        <v>26</v>
      </c>
      <c r="N752" s="4">
        <v>72</v>
      </c>
      <c r="O752" s="4">
        <v>37</v>
      </c>
      <c r="P752" s="4">
        <v>7.2081152996381501</v>
      </c>
      <c r="Q752" s="4">
        <v>0.93558640185358199</v>
      </c>
      <c r="R752" s="4">
        <v>18</v>
      </c>
      <c r="S752" s="7" t="s">
        <v>33</v>
      </c>
      <c r="T752" s="4">
        <v>58192</v>
      </c>
      <c r="U752" s="4">
        <v>138853</v>
      </c>
      <c r="W752" s="4">
        <v>1050</v>
      </c>
      <c r="X752" s="4">
        <v>48353</v>
      </c>
      <c r="Y752" s="4">
        <v>80500</v>
      </c>
      <c r="AA752" s="4">
        <v>11050</v>
      </c>
      <c r="AB752" s="4">
        <v>27475</v>
      </c>
      <c r="AC752" s="4">
        <v>24369</v>
      </c>
      <c r="AE752" s="4">
        <v>7789</v>
      </c>
      <c r="AF752" s="4">
        <v>59633</v>
      </c>
      <c r="AG752" s="6">
        <v>1373</v>
      </c>
      <c r="AH752" s="6">
        <v>1370</v>
      </c>
      <c r="AI752" s="6">
        <v>3</v>
      </c>
      <c r="AL752" s="4">
        <v>587</v>
      </c>
      <c r="AM752" s="4">
        <v>8814</v>
      </c>
      <c r="AN752" s="4">
        <v>886</v>
      </c>
      <c r="AV752" s="4">
        <v>197</v>
      </c>
      <c r="AW752" s="4">
        <v>281</v>
      </c>
    </row>
    <row r="753" spans="1:49" x14ac:dyDescent="0.2">
      <c r="A753" s="1">
        <v>43974</v>
      </c>
      <c r="B753">
        <f>B752</f>
        <v>22.01</v>
      </c>
      <c r="C753" s="1" t="s">
        <v>58</v>
      </c>
      <c r="D753" s="1" t="s">
        <v>62</v>
      </c>
      <c r="E753" s="1" t="s">
        <v>67</v>
      </c>
      <c r="F753" s="1" t="s">
        <v>53</v>
      </c>
      <c r="G753">
        <v>641</v>
      </c>
      <c r="H753" s="4">
        <v>0</v>
      </c>
      <c r="I753" s="4">
        <v>118</v>
      </c>
      <c r="J753" s="4">
        <v>55</v>
      </c>
      <c r="K753" s="4">
        <v>43.69</v>
      </c>
      <c r="L753" s="4">
        <v>90</v>
      </c>
      <c r="M753" s="4">
        <v>24</v>
      </c>
      <c r="N753" s="4">
        <v>76</v>
      </c>
      <c r="O753" s="4">
        <v>33</v>
      </c>
      <c r="P753" s="4">
        <v>6.02416087546551</v>
      </c>
      <c r="Q753" s="4">
        <v>0.81827892603347396</v>
      </c>
      <c r="R753" s="4">
        <v>15</v>
      </c>
      <c r="S753" s="7" t="s">
        <v>33</v>
      </c>
      <c r="T753" s="4">
        <v>91384</v>
      </c>
      <c r="U753" s="4">
        <v>133691</v>
      </c>
      <c r="W753" s="4">
        <v>1050</v>
      </c>
      <c r="X753" s="4">
        <v>48191</v>
      </c>
      <c r="Y753" s="4">
        <v>75500</v>
      </c>
      <c r="AA753" s="4">
        <v>11050</v>
      </c>
      <c r="AB753" s="4">
        <v>32230</v>
      </c>
      <c r="AC753" s="4">
        <v>47672</v>
      </c>
      <c r="AE753" s="4">
        <v>12410</v>
      </c>
      <c r="AF753" s="4">
        <v>92312</v>
      </c>
      <c r="AG753" s="6">
        <v>1532</v>
      </c>
      <c r="AH753" s="6">
        <v>1529</v>
      </c>
      <c r="AI753" s="6">
        <v>3</v>
      </c>
      <c r="AL753" s="4">
        <v>643</v>
      </c>
      <c r="AM753" s="4">
        <v>8814</v>
      </c>
      <c r="AN753" s="4">
        <v>928</v>
      </c>
      <c r="AV753" s="4">
        <v>220</v>
      </c>
      <c r="AW753" s="4">
        <v>284</v>
      </c>
    </row>
    <row r="754" spans="1:49" x14ac:dyDescent="0.2">
      <c r="A754" s="1">
        <v>43973</v>
      </c>
      <c r="B754">
        <f t="shared" ref="B754:B758" si="106">B753</f>
        <v>22.01</v>
      </c>
      <c r="C754" s="1" t="s">
        <v>58</v>
      </c>
      <c r="D754" s="1" t="s">
        <v>62</v>
      </c>
      <c r="E754" s="1" t="s">
        <v>67</v>
      </c>
      <c r="F754" s="1" t="s">
        <v>53</v>
      </c>
      <c r="G754">
        <v>632</v>
      </c>
      <c r="H754" s="4">
        <v>0</v>
      </c>
      <c r="I754" s="4">
        <v>129</v>
      </c>
      <c r="J754" s="4">
        <v>34</v>
      </c>
      <c r="K754" s="4">
        <v>42.71</v>
      </c>
      <c r="L754" s="4">
        <v>125</v>
      </c>
      <c r="M754" s="4">
        <v>27</v>
      </c>
      <c r="N754" s="4">
        <v>81</v>
      </c>
      <c r="O754" s="4">
        <v>31</v>
      </c>
      <c r="P754" s="4">
        <v>7.3804487994747996</v>
      </c>
      <c r="Q754" s="4">
        <v>7.8814118050512194E-2</v>
      </c>
      <c r="R754" s="4">
        <v>15</v>
      </c>
      <c r="S754" s="7" t="s">
        <v>33</v>
      </c>
      <c r="T754" s="4">
        <v>90979</v>
      </c>
      <c r="U754" s="4">
        <v>135421</v>
      </c>
      <c r="W754" s="4">
        <v>1050</v>
      </c>
      <c r="X754" s="4">
        <v>49921</v>
      </c>
      <c r="Y754" s="4">
        <v>75500</v>
      </c>
      <c r="AA754" s="4">
        <v>11050</v>
      </c>
      <c r="AB754" s="4">
        <v>35915</v>
      </c>
      <c r="AC754" s="4">
        <v>48145</v>
      </c>
      <c r="AE754" s="4">
        <v>8083</v>
      </c>
      <c r="AF754" s="4">
        <v>92143</v>
      </c>
      <c r="AG754" s="6">
        <v>2057</v>
      </c>
      <c r="AH754" s="6">
        <v>2056</v>
      </c>
      <c r="AI754" s="6">
        <v>1</v>
      </c>
      <c r="AL754" s="4">
        <v>740</v>
      </c>
      <c r="AM754" s="4">
        <v>9184</v>
      </c>
      <c r="AN754" s="4">
        <v>964</v>
      </c>
      <c r="AV754" s="4">
        <v>223</v>
      </c>
      <c r="AW754" s="4">
        <v>300</v>
      </c>
    </row>
    <row r="755" spans="1:49" x14ac:dyDescent="0.2">
      <c r="A755" s="1">
        <v>43972</v>
      </c>
      <c r="B755">
        <f t="shared" si="106"/>
        <v>22.01</v>
      </c>
      <c r="C755" s="1" t="s">
        <v>58</v>
      </c>
      <c r="D755" s="1" t="s">
        <v>62</v>
      </c>
      <c r="E755" s="1" t="s">
        <v>67</v>
      </c>
      <c r="F755" s="1" t="s">
        <v>53</v>
      </c>
      <c r="G755">
        <v>632</v>
      </c>
      <c r="H755" s="4">
        <v>0</v>
      </c>
      <c r="I755" s="4">
        <v>129</v>
      </c>
      <c r="J755" s="4">
        <v>32</v>
      </c>
      <c r="K755" s="4">
        <v>39.409999999999997</v>
      </c>
      <c r="L755" s="4">
        <v>154</v>
      </c>
      <c r="M755" s="4">
        <v>28</v>
      </c>
      <c r="N755" s="4">
        <v>81</v>
      </c>
      <c r="O755" s="4">
        <v>30</v>
      </c>
      <c r="P755" s="4">
        <v>7.1736844791321799</v>
      </c>
      <c r="Q755" s="4">
        <v>6.6076783824638996E-2</v>
      </c>
      <c r="R755" s="4">
        <v>15</v>
      </c>
      <c r="S755" s="7" t="s">
        <v>33</v>
      </c>
      <c r="T755" s="4">
        <v>105754</v>
      </c>
      <c r="U755" s="4">
        <v>137612</v>
      </c>
      <c r="W755" s="4">
        <v>1050</v>
      </c>
      <c r="X755" s="4">
        <v>50112</v>
      </c>
      <c r="Y755" s="4">
        <v>77500</v>
      </c>
      <c r="AA755" s="4">
        <v>11050</v>
      </c>
      <c r="AB755" s="4">
        <v>37728</v>
      </c>
      <c r="AC755" s="4">
        <v>55670</v>
      </c>
      <c r="AE755" s="4">
        <v>14521</v>
      </c>
      <c r="AF755" s="4">
        <v>107919</v>
      </c>
      <c r="AG755" s="6">
        <v>2567</v>
      </c>
      <c r="AH755" s="6">
        <v>2565</v>
      </c>
      <c r="AI755" s="6">
        <v>2</v>
      </c>
      <c r="AL755" s="4">
        <v>841</v>
      </c>
      <c r="AM755" s="4">
        <v>9293</v>
      </c>
      <c r="AN755" s="4">
        <v>1008</v>
      </c>
      <c r="AV755" s="4">
        <v>238</v>
      </c>
      <c r="AW755" s="4">
        <v>342</v>
      </c>
    </row>
    <row r="756" spans="1:49" x14ac:dyDescent="0.2">
      <c r="A756" s="1">
        <v>43971</v>
      </c>
      <c r="B756">
        <f t="shared" si="106"/>
        <v>22.01</v>
      </c>
      <c r="C756" s="1" t="s">
        <v>58</v>
      </c>
      <c r="D756" s="1" t="s">
        <v>62</v>
      </c>
      <c r="E756" s="1" t="s">
        <v>67</v>
      </c>
      <c r="F756" s="1" t="s">
        <v>53</v>
      </c>
      <c r="G756">
        <v>625</v>
      </c>
      <c r="H756" s="4">
        <v>0</v>
      </c>
      <c r="I756" s="4">
        <v>128</v>
      </c>
      <c r="J756" s="4">
        <v>32</v>
      </c>
      <c r="K756" s="4">
        <v>42.97</v>
      </c>
      <c r="L756" s="4">
        <v>175</v>
      </c>
      <c r="M756" s="4">
        <v>28</v>
      </c>
      <c r="N756" s="4">
        <v>81</v>
      </c>
      <c r="O756" s="4">
        <v>31</v>
      </c>
      <c r="P756" s="4">
        <v>7.2865829042963597</v>
      </c>
      <c r="Q756" s="4">
        <v>6.4558966909022297E-2</v>
      </c>
      <c r="R756" s="4">
        <v>16</v>
      </c>
      <c r="S756" s="7" t="s">
        <v>33</v>
      </c>
      <c r="T756" s="4">
        <v>86697</v>
      </c>
      <c r="U756" s="4">
        <v>134855</v>
      </c>
      <c r="W756" s="4">
        <v>1100</v>
      </c>
      <c r="X756" s="4">
        <v>49355</v>
      </c>
      <c r="Y756" s="4">
        <v>75500</v>
      </c>
      <c r="AA756" s="4">
        <v>11100</v>
      </c>
      <c r="AB756" s="4">
        <v>38296</v>
      </c>
      <c r="AC756" s="4">
        <v>43107</v>
      </c>
      <c r="AE756" s="4">
        <v>6416</v>
      </c>
      <c r="AF756" s="4">
        <v>87819</v>
      </c>
      <c r="AG756" s="6">
        <v>2719</v>
      </c>
      <c r="AH756" s="6">
        <v>2719</v>
      </c>
      <c r="AI756" s="6">
        <v>0</v>
      </c>
      <c r="AL756" s="4">
        <v>850</v>
      </c>
      <c r="AM756" s="4">
        <v>9563</v>
      </c>
      <c r="AN756" s="4">
        <v>1034</v>
      </c>
      <c r="AV756" s="4">
        <v>268</v>
      </c>
      <c r="AW756" s="4">
        <v>353</v>
      </c>
    </row>
    <row r="757" spans="1:49" x14ac:dyDescent="0.2">
      <c r="A757" s="1">
        <v>43970</v>
      </c>
      <c r="B757">
        <f t="shared" si="106"/>
        <v>22.01</v>
      </c>
      <c r="C757" s="1" t="s">
        <v>58</v>
      </c>
      <c r="D757" s="1" t="s">
        <v>62</v>
      </c>
      <c r="E757" s="1" t="s">
        <v>67</v>
      </c>
      <c r="F757" s="1" t="s">
        <v>53</v>
      </c>
      <c r="G757">
        <v>628</v>
      </c>
      <c r="H757" s="4">
        <v>0</v>
      </c>
      <c r="I757" s="4">
        <v>128</v>
      </c>
      <c r="J757" s="4">
        <v>32</v>
      </c>
      <c r="K757" s="4">
        <v>40.69</v>
      </c>
      <c r="L757" s="4">
        <v>164</v>
      </c>
      <c r="M757" s="4">
        <v>29</v>
      </c>
      <c r="N757" s="4">
        <v>79</v>
      </c>
      <c r="O757" s="4">
        <v>31</v>
      </c>
      <c r="P757" s="4">
        <v>7.1837306842526196</v>
      </c>
      <c r="Q757" s="4">
        <v>6.5481445365319593E-2</v>
      </c>
      <c r="R757" s="4">
        <v>16</v>
      </c>
      <c r="S757" s="7" t="s">
        <v>33</v>
      </c>
      <c r="T757" s="4">
        <v>86335</v>
      </c>
      <c r="U757" s="4">
        <v>128867</v>
      </c>
      <c r="W757" s="4">
        <v>1100</v>
      </c>
      <c r="X757" s="4">
        <v>46867</v>
      </c>
      <c r="Y757" s="4">
        <v>72000</v>
      </c>
      <c r="AA757" s="4">
        <v>11100</v>
      </c>
      <c r="AB757" s="4">
        <v>35196</v>
      </c>
      <c r="AC757" s="4">
        <v>44457</v>
      </c>
      <c r="AE757" s="4">
        <v>8473</v>
      </c>
      <c r="AF757" s="4">
        <v>88126</v>
      </c>
      <c r="AG757" s="6">
        <v>3063</v>
      </c>
      <c r="AH757" s="6">
        <v>3060</v>
      </c>
      <c r="AI757" s="6">
        <v>3</v>
      </c>
      <c r="AL757" s="4">
        <v>880</v>
      </c>
      <c r="AM757" s="4">
        <v>10013</v>
      </c>
      <c r="AN757" s="4">
        <v>1106</v>
      </c>
      <c r="AV757" s="4">
        <v>276</v>
      </c>
      <c r="AW757" s="4">
        <v>372</v>
      </c>
    </row>
    <row r="758" spans="1:49" x14ac:dyDescent="0.2">
      <c r="A758" s="1">
        <v>43969</v>
      </c>
      <c r="B758">
        <f t="shared" si="106"/>
        <v>22.01</v>
      </c>
      <c r="C758" s="1" t="s">
        <v>58</v>
      </c>
      <c r="D758" s="1" t="s">
        <v>62</v>
      </c>
      <c r="E758" s="1" t="s">
        <v>67</v>
      </c>
      <c r="F758" s="1" t="s">
        <v>53</v>
      </c>
      <c r="G758">
        <v>620</v>
      </c>
      <c r="H758" s="4">
        <v>0</v>
      </c>
      <c r="I758" s="4">
        <v>128</v>
      </c>
      <c r="J758" s="4">
        <v>32</v>
      </c>
      <c r="K758" s="4">
        <v>38.380000000000003</v>
      </c>
      <c r="L758" s="4">
        <v>160</v>
      </c>
      <c r="M758" s="4">
        <v>30</v>
      </c>
      <c r="N758" s="4">
        <v>78</v>
      </c>
      <c r="O758" s="4">
        <v>30</v>
      </c>
      <c r="P758" s="4">
        <v>7.3762323744525498</v>
      </c>
      <c r="Q758" s="4">
        <v>7.2070407943491302E-2</v>
      </c>
      <c r="R758" s="4">
        <v>16</v>
      </c>
      <c r="S758" s="7" t="s">
        <v>33</v>
      </c>
      <c r="T758" s="4">
        <v>71633</v>
      </c>
      <c r="U758" s="4">
        <v>126867</v>
      </c>
      <c r="W758" s="4">
        <v>1100</v>
      </c>
      <c r="X758" s="4">
        <v>46867</v>
      </c>
      <c r="Y758" s="4">
        <v>70000</v>
      </c>
      <c r="AA758" s="4">
        <v>11100</v>
      </c>
      <c r="AB758" s="4">
        <v>28835</v>
      </c>
      <c r="AC758" s="4">
        <v>34193</v>
      </c>
      <c r="AE758" s="4">
        <v>9504</v>
      </c>
      <c r="AF758" s="4">
        <v>72532</v>
      </c>
      <c r="AG758" s="6">
        <v>2581</v>
      </c>
      <c r="AH758" s="6">
        <v>2577</v>
      </c>
      <c r="AI758" s="6">
        <v>4</v>
      </c>
      <c r="AL758" s="4">
        <v>848</v>
      </c>
      <c r="AM758" s="4">
        <v>10231</v>
      </c>
      <c r="AN758" s="4">
        <v>1141</v>
      </c>
      <c r="AV758" s="4">
        <v>293</v>
      </c>
      <c r="AW758" s="4">
        <v>407</v>
      </c>
    </row>
    <row r="759" spans="1:49" x14ac:dyDescent="0.2">
      <c r="A759" s="1">
        <v>43968</v>
      </c>
      <c r="B759">
        <v>41.15</v>
      </c>
      <c r="C759" s="1" t="s">
        <v>58</v>
      </c>
      <c r="D759" s="1" t="s">
        <v>62</v>
      </c>
      <c r="E759" s="1" t="s">
        <v>67</v>
      </c>
      <c r="F759" s="1" t="s">
        <v>53</v>
      </c>
      <c r="G759">
        <v>601</v>
      </c>
      <c r="H759" s="4">
        <v>0</v>
      </c>
      <c r="I759" s="4">
        <v>114</v>
      </c>
      <c r="J759" s="4">
        <v>54</v>
      </c>
      <c r="K759" s="4">
        <v>41.36</v>
      </c>
      <c r="L759" s="4">
        <v>140</v>
      </c>
      <c r="M759" s="4">
        <v>23</v>
      </c>
      <c r="N759" s="4">
        <v>69</v>
      </c>
      <c r="O759" s="4">
        <v>33</v>
      </c>
      <c r="P759" s="4">
        <v>5.8651235011252298</v>
      </c>
      <c r="Q759" s="4">
        <v>7.0076227487392201E-2</v>
      </c>
      <c r="R759" s="4">
        <v>15</v>
      </c>
      <c r="S759" s="7" t="s">
        <v>33</v>
      </c>
      <c r="T759" s="4">
        <v>81213</v>
      </c>
      <c r="U759" s="4">
        <v>128822</v>
      </c>
      <c r="W759" s="4">
        <v>1000</v>
      </c>
      <c r="X759" s="4">
        <v>45822</v>
      </c>
      <c r="Y759" s="4">
        <v>73000</v>
      </c>
      <c r="AA759" s="4">
        <v>11000</v>
      </c>
      <c r="AB759" s="4">
        <v>24746</v>
      </c>
      <c r="AC759" s="4">
        <v>50544</v>
      </c>
      <c r="AE759" s="4">
        <v>6851</v>
      </c>
      <c r="AF759" s="4">
        <v>82141</v>
      </c>
      <c r="AG759" s="6">
        <v>1837</v>
      </c>
      <c r="AH759" s="6">
        <v>1837</v>
      </c>
      <c r="AI759" s="6">
        <v>0</v>
      </c>
      <c r="AL759" s="4">
        <v>792</v>
      </c>
      <c r="AM759" s="4">
        <v>10199</v>
      </c>
      <c r="AN759" s="4">
        <v>1196</v>
      </c>
      <c r="AV759" s="4">
        <v>267</v>
      </c>
      <c r="AW759" s="4">
        <v>377</v>
      </c>
    </row>
    <row r="760" spans="1:49" x14ac:dyDescent="0.2">
      <c r="A760" s="1">
        <v>43967</v>
      </c>
      <c r="B760">
        <f>B759</f>
        <v>41.15</v>
      </c>
      <c r="C760" s="1" t="s">
        <v>58</v>
      </c>
      <c r="D760" s="1" t="s">
        <v>62</v>
      </c>
      <c r="E760" s="1" t="s">
        <v>67</v>
      </c>
      <c r="F760" s="1" t="s">
        <v>53</v>
      </c>
      <c r="G760">
        <v>599</v>
      </c>
      <c r="H760" s="4">
        <v>0</v>
      </c>
      <c r="I760" s="4">
        <v>118</v>
      </c>
      <c r="J760" s="4">
        <v>51</v>
      </c>
      <c r="K760" s="4">
        <v>42.93</v>
      </c>
      <c r="L760" s="4">
        <v>98</v>
      </c>
      <c r="M760" s="4">
        <v>22</v>
      </c>
      <c r="N760" s="4">
        <v>72</v>
      </c>
      <c r="O760" s="4">
        <v>32</v>
      </c>
      <c r="P760" s="4">
        <v>5.1215110492122902</v>
      </c>
      <c r="Q760" s="4">
        <v>6.6965240501068807E-2</v>
      </c>
      <c r="R760" s="4">
        <v>13</v>
      </c>
      <c r="S760" s="7" t="s">
        <v>33</v>
      </c>
      <c r="T760" s="4">
        <v>90549</v>
      </c>
      <c r="U760" s="4">
        <v>117822</v>
      </c>
      <c r="W760" s="4">
        <v>1000</v>
      </c>
      <c r="X760" s="4">
        <v>45822</v>
      </c>
      <c r="Y760" s="4">
        <v>72000</v>
      </c>
      <c r="AA760" s="4">
        <v>1000</v>
      </c>
      <c r="AB760" s="4">
        <v>31549</v>
      </c>
      <c r="AC760" s="4">
        <v>56713</v>
      </c>
      <c r="AE760" s="4">
        <v>5091</v>
      </c>
      <c r="AF760" s="4">
        <v>93353</v>
      </c>
      <c r="AG760" s="6">
        <v>2082</v>
      </c>
      <c r="AH760" s="6">
        <v>2081</v>
      </c>
      <c r="AI760" s="6">
        <v>1</v>
      </c>
      <c r="AL760" s="4">
        <v>813</v>
      </c>
      <c r="AM760" s="4">
        <v>10238</v>
      </c>
      <c r="AN760" s="4">
        <v>1234</v>
      </c>
      <c r="AV760" s="4">
        <v>314</v>
      </c>
      <c r="AW760" s="4">
        <v>419</v>
      </c>
    </row>
    <row r="761" spans="1:49" x14ac:dyDescent="0.2">
      <c r="A761" s="1">
        <v>43966</v>
      </c>
      <c r="B761">
        <f t="shared" ref="B761:B765" si="107">B760</f>
        <v>41.15</v>
      </c>
      <c r="C761" s="1" t="s">
        <v>58</v>
      </c>
      <c r="D761" s="1" t="s">
        <v>62</v>
      </c>
      <c r="E761" s="1" t="s">
        <v>67</v>
      </c>
      <c r="F761" s="1" t="s">
        <v>53</v>
      </c>
      <c r="G761">
        <v>601</v>
      </c>
      <c r="H761" s="4">
        <v>0</v>
      </c>
      <c r="I761" s="4">
        <v>130</v>
      </c>
      <c r="J761" s="4">
        <v>32</v>
      </c>
      <c r="K761" s="4">
        <v>37.94</v>
      </c>
      <c r="L761" s="4">
        <v>121</v>
      </c>
      <c r="M761" s="4">
        <v>25</v>
      </c>
      <c r="N761" s="4">
        <v>76</v>
      </c>
      <c r="O761" s="4">
        <v>29</v>
      </c>
      <c r="P761" s="4">
        <v>6.0118730356008196</v>
      </c>
      <c r="Q761" s="4">
        <v>6.2373772382611499E-2</v>
      </c>
      <c r="R761" s="4">
        <v>13</v>
      </c>
      <c r="S761" s="7" t="s">
        <v>33</v>
      </c>
      <c r="T761" s="4">
        <v>90047</v>
      </c>
      <c r="U761" s="4">
        <v>128203</v>
      </c>
      <c r="W761" s="4">
        <v>1000</v>
      </c>
      <c r="X761" s="4">
        <v>47203</v>
      </c>
      <c r="Y761" s="4">
        <v>81000</v>
      </c>
      <c r="AA761" s="4">
        <v>1000</v>
      </c>
      <c r="AB761" s="4">
        <v>37324</v>
      </c>
      <c r="AC761" s="4">
        <v>50722</v>
      </c>
      <c r="AE761" s="4">
        <v>5888</v>
      </c>
      <c r="AF761" s="4">
        <v>93934</v>
      </c>
      <c r="AG761" s="6">
        <v>2530</v>
      </c>
      <c r="AH761" s="6">
        <v>2530</v>
      </c>
      <c r="AL761" s="4">
        <v>868</v>
      </c>
      <c r="AM761" s="4">
        <v>10691</v>
      </c>
      <c r="AN761" s="4">
        <v>1337</v>
      </c>
      <c r="AV761" s="4">
        <v>314</v>
      </c>
      <c r="AW761" s="4">
        <v>421</v>
      </c>
    </row>
    <row r="762" spans="1:49" x14ac:dyDescent="0.2">
      <c r="A762" s="1">
        <v>43965</v>
      </c>
      <c r="B762">
        <f t="shared" si="107"/>
        <v>41.15</v>
      </c>
      <c r="C762" s="1" t="s">
        <v>58</v>
      </c>
      <c r="D762" s="1" t="s">
        <v>62</v>
      </c>
      <c r="E762" s="1" t="s">
        <v>67</v>
      </c>
      <c r="F762" s="1" t="s">
        <v>53</v>
      </c>
      <c r="G762">
        <v>593</v>
      </c>
      <c r="H762" s="4">
        <v>0</v>
      </c>
      <c r="I762" s="4">
        <v>130</v>
      </c>
      <c r="J762" s="4">
        <v>30</v>
      </c>
      <c r="K762" s="4">
        <v>32.549999999999997</v>
      </c>
      <c r="L762" s="4">
        <v>108</v>
      </c>
      <c r="M762" s="4">
        <v>25</v>
      </c>
      <c r="N762" s="4">
        <v>74</v>
      </c>
      <c r="O762" s="4">
        <v>26</v>
      </c>
      <c r="P762" s="4">
        <v>5.8442530617587201</v>
      </c>
      <c r="Q762" s="4">
        <v>6.3474949097517205E-2</v>
      </c>
      <c r="R762" s="4">
        <v>12</v>
      </c>
      <c r="S762" s="7" t="s">
        <v>33</v>
      </c>
      <c r="T762" s="4">
        <v>85656</v>
      </c>
      <c r="U762" s="4">
        <v>127498</v>
      </c>
      <c r="W762" s="4">
        <v>1000</v>
      </c>
      <c r="X762" s="4">
        <v>47498</v>
      </c>
      <c r="Y762" s="4">
        <v>80000</v>
      </c>
      <c r="AA762" s="4">
        <v>1000</v>
      </c>
      <c r="AB762" s="4">
        <v>32207</v>
      </c>
      <c r="AC762" s="4">
        <v>49388</v>
      </c>
      <c r="AE762" s="4">
        <v>3571</v>
      </c>
      <c r="AF762" s="4">
        <v>85166</v>
      </c>
      <c r="AG762" s="6">
        <v>2630</v>
      </c>
      <c r="AH762" s="6">
        <v>2630</v>
      </c>
      <c r="AL762" s="4">
        <v>908</v>
      </c>
      <c r="AM762" s="4">
        <v>10921</v>
      </c>
      <c r="AN762" s="4">
        <v>1314</v>
      </c>
      <c r="AV762" s="4">
        <v>334</v>
      </c>
      <c r="AW762" s="4">
        <v>465</v>
      </c>
    </row>
    <row r="763" spans="1:49" x14ac:dyDescent="0.2">
      <c r="A763" s="1">
        <v>43964</v>
      </c>
      <c r="B763">
        <f t="shared" si="107"/>
        <v>41.15</v>
      </c>
      <c r="C763" s="1" t="s">
        <v>58</v>
      </c>
      <c r="D763" s="1" t="s">
        <v>62</v>
      </c>
      <c r="E763" s="1" t="s">
        <v>67</v>
      </c>
      <c r="F763" s="1" t="s">
        <v>53</v>
      </c>
      <c r="G763">
        <v>585</v>
      </c>
      <c r="H763" s="4">
        <v>0</v>
      </c>
      <c r="I763" s="4">
        <v>131</v>
      </c>
      <c r="J763" s="4">
        <v>30</v>
      </c>
      <c r="K763" s="4">
        <v>31.43</v>
      </c>
      <c r="L763" s="4">
        <v>88</v>
      </c>
      <c r="M763" s="4">
        <v>23</v>
      </c>
      <c r="N763" s="4">
        <v>71</v>
      </c>
      <c r="O763" s="4">
        <v>26</v>
      </c>
      <c r="P763" s="4">
        <v>5.7757429658289396</v>
      </c>
      <c r="Q763" s="4">
        <v>6.39033795324392E-2</v>
      </c>
      <c r="R763" s="4">
        <v>12</v>
      </c>
      <c r="S763" s="7" t="s">
        <v>33</v>
      </c>
      <c r="T763" s="4">
        <v>82843</v>
      </c>
      <c r="U763" s="4">
        <v>125400</v>
      </c>
      <c r="W763" s="4">
        <v>1000</v>
      </c>
      <c r="X763" s="4">
        <v>47400</v>
      </c>
      <c r="Y763" s="4">
        <v>78000</v>
      </c>
      <c r="AA763" s="4">
        <v>1000</v>
      </c>
      <c r="AB763" s="4">
        <v>31828</v>
      </c>
      <c r="AC763" s="4">
        <v>48885</v>
      </c>
      <c r="AE763" s="4">
        <v>2759</v>
      </c>
      <c r="AF763" s="4">
        <v>83472</v>
      </c>
      <c r="AG763" s="6">
        <v>3330</v>
      </c>
      <c r="AH763" s="6">
        <v>3330</v>
      </c>
      <c r="AL763" s="4">
        <v>966</v>
      </c>
      <c r="AM763" s="4">
        <v>11342</v>
      </c>
      <c r="AN763" s="4">
        <v>1342</v>
      </c>
      <c r="AV763" s="4">
        <v>317</v>
      </c>
      <c r="AW763" s="4">
        <v>454</v>
      </c>
    </row>
    <row r="764" spans="1:49" x14ac:dyDescent="0.2">
      <c r="A764" s="1">
        <v>43963</v>
      </c>
      <c r="B764">
        <f t="shared" si="107"/>
        <v>41.15</v>
      </c>
      <c r="C764" s="1" t="s">
        <v>58</v>
      </c>
      <c r="D764" s="1" t="s">
        <v>62</v>
      </c>
      <c r="E764" s="1" t="s">
        <v>67</v>
      </c>
      <c r="F764" s="1" t="s">
        <v>53</v>
      </c>
      <c r="G764">
        <v>580</v>
      </c>
      <c r="H764" s="4">
        <v>0</v>
      </c>
      <c r="I764" s="4">
        <v>130</v>
      </c>
      <c r="J764" s="4">
        <v>30</v>
      </c>
      <c r="K764" s="4" t="s">
        <v>45</v>
      </c>
      <c r="L764" s="4">
        <v>106</v>
      </c>
      <c r="M764" s="4">
        <v>25</v>
      </c>
      <c r="N764" s="4">
        <v>73</v>
      </c>
      <c r="O764" s="4">
        <v>27</v>
      </c>
      <c r="P764" s="4">
        <v>5.80856968213791</v>
      </c>
      <c r="Q764" s="4">
        <v>6.7870677770445795E-2</v>
      </c>
      <c r="R764" s="4">
        <v>12</v>
      </c>
      <c r="S764" s="7" t="s">
        <v>33</v>
      </c>
      <c r="T764" s="4">
        <v>74966</v>
      </c>
      <c r="U764" s="4">
        <v>116982</v>
      </c>
      <c r="W764" s="4">
        <v>1000</v>
      </c>
      <c r="X764" s="4">
        <v>46982</v>
      </c>
      <c r="Y764" s="4">
        <v>70000</v>
      </c>
      <c r="AA764" s="4">
        <v>1000</v>
      </c>
      <c r="AB764" s="4">
        <v>32077</v>
      </c>
      <c r="AC764" s="4">
        <v>40291</v>
      </c>
      <c r="AE764" s="4">
        <v>2491</v>
      </c>
      <c r="AF764" s="4">
        <v>74859</v>
      </c>
      <c r="AG764" s="6">
        <v>3410</v>
      </c>
      <c r="AH764" s="6">
        <v>3410</v>
      </c>
      <c r="AL764" s="4">
        <v>983</v>
      </c>
      <c r="AM764" s="4">
        <v>11591</v>
      </c>
      <c r="AN764" s="4">
        <v>1414</v>
      </c>
      <c r="AV764" s="4">
        <v>321</v>
      </c>
      <c r="AW764" s="4">
        <v>441</v>
      </c>
    </row>
    <row r="765" spans="1:49" x14ac:dyDescent="0.2">
      <c r="A765" s="1">
        <v>43962</v>
      </c>
      <c r="B765">
        <f t="shared" si="107"/>
        <v>41.15</v>
      </c>
      <c r="C765" s="1" t="s">
        <v>58</v>
      </c>
      <c r="D765" s="1" t="s">
        <v>62</v>
      </c>
      <c r="E765" s="1" t="s">
        <v>67</v>
      </c>
      <c r="F765" s="1" t="s">
        <v>53</v>
      </c>
      <c r="G765">
        <v>578</v>
      </c>
      <c r="H765" s="4">
        <v>0</v>
      </c>
      <c r="I765" s="4">
        <v>130</v>
      </c>
      <c r="J765" s="4">
        <v>29</v>
      </c>
      <c r="K765" s="4" t="s">
        <v>45</v>
      </c>
      <c r="L765" s="4">
        <v>83</v>
      </c>
      <c r="M765" s="4">
        <v>25</v>
      </c>
      <c r="N765" s="4">
        <v>72</v>
      </c>
      <c r="O765" s="4">
        <v>26</v>
      </c>
      <c r="P765" s="4">
        <v>5.9817697883162699</v>
      </c>
      <c r="Q765" s="4">
        <v>7.3870485826300306E-2</v>
      </c>
      <c r="R765" s="4">
        <v>13</v>
      </c>
      <c r="S765" s="7" t="s">
        <v>33</v>
      </c>
      <c r="T765" s="4">
        <v>71976</v>
      </c>
      <c r="U765" s="4">
        <v>109670</v>
      </c>
      <c r="W765" s="4">
        <v>1000</v>
      </c>
      <c r="X765" s="4">
        <v>47170</v>
      </c>
      <c r="Y765" s="4">
        <v>62500</v>
      </c>
      <c r="AA765" s="4">
        <v>1000</v>
      </c>
      <c r="AB765" s="4">
        <v>25462</v>
      </c>
      <c r="AC765" s="4">
        <v>41654</v>
      </c>
      <c r="AE765" s="4">
        <v>3244</v>
      </c>
      <c r="AF765" s="4">
        <v>70360</v>
      </c>
      <c r="AG765" s="6">
        <v>3612</v>
      </c>
      <c r="AH765" s="6">
        <v>3612</v>
      </c>
      <c r="AL765" s="4">
        <v>1029</v>
      </c>
      <c r="AM765" s="4">
        <v>11967</v>
      </c>
      <c r="AN765" s="4">
        <v>1485</v>
      </c>
      <c r="AV765" s="4">
        <v>309</v>
      </c>
      <c r="AW765" s="4">
        <v>428</v>
      </c>
    </row>
    <row r="766" spans="1:49" x14ac:dyDescent="0.2">
      <c r="A766" s="1">
        <v>43961</v>
      </c>
      <c r="B766">
        <v>31.76</v>
      </c>
      <c r="C766" s="1" t="s">
        <v>58</v>
      </c>
      <c r="D766" s="1" t="s">
        <v>61</v>
      </c>
      <c r="E766" s="1" t="s">
        <v>67</v>
      </c>
      <c r="F766" s="1" t="s">
        <v>53</v>
      </c>
      <c r="G766">
        <v>583</v>
      </c>
      <c r="H766" s="4">
        <v>0</v>
      </c>
      <c r="I766" s="4">
        <v>117</v>
      </c>
      <c r="J766" s="4">
        <v>49</v>
      </c>
      <c r="K766" s="4">
        <v>27.7</v>
      </c>
      <c r="L766" s="4">
        <v>64</v>
      </c>
      <c r="M766" s="4">
        <v>17</v>
      </c>
      <c r="N766" s="4">
        <v>59</v>
      </c>
      <c r="O766" s="4">
        <v>25</v>
      </c>
      <c r="P766" s="4">
        <v>4.5558405669218098</v>
      </c>
      <c r="Q766" s="4">
        <v>7.0012260141443003E-2</v>
      </c>
      <c r="R766" s="4">
        <v>10</v>
      </c>
      <c r="S766" s="7" t="s">
        <v>33</v>
      </c>
      <c r="T766" s="4">
        <v>76103</v>
      </c>
      <c r="U766" s="4">
        <v>107356</v>
      </c>
      <c r="W766" s="4">
        <v>1000</v>
      </c>
      <c r="X766" s="4">
        <v>46106</v>
      </c>
      <c r="Y766" s="4">
        <v>61250</v>
      </c>
      <c r="AA766" s="4">
        <v>1000</v>
      </c>
      <c r="AB766" s="4">
        <v>26327</v>
      </c>
      <c r="AC766" s="4">
        <v>47214</v>
      </c>
      <c r="AE766" s="4">
        <v>3401</v>
      </c>
      <c r="AF766" s="4">
        <v>76942</v>
      </c>
      <c r="AG766" s="6">
        <v>2337</v>
      </c>
      <c r="AH766" s="6">
        <v>2337</v>
      </c>
      <c r="AL766" s="4">
        <v>915</v>
      </c>
      <c r="AM766" s="4">
        <v>11727</v>
      </c>
      <c r="AN766" s="4">
        <v>1538</v>
      </c>
      <c r="AV766" s="4">
        <v>348</v>
      </c>
      <c r="AW766" s="4">
        <v>494</v>
      </c>
    </row>
    <row r="767" spans="1:49" x14ac:dyDescent="0.2">
      <c r="A767" s="1">
        <v>43960</v>
      </c>
      <c r="B767">
        <f>B766</f>
        <v>31.76</v>
      </c>
      <c r="C767" s="1" t="s">
        <v>58</v>
      </c>
      <c r="D767" s="1" t="s">
        <v>61</v>
      </c>
      <c r="E767" s="1" t="s">
        <v>66</v>
      </c>
      <c r="F767" s="1" t="s">
        <v>53</v>
      </c>
      <c r="G767">
        <v>578</v>
      </c>
      <c r="H767" s="4">
        <v>0</v>
      </c>
      <c r="I767" s="4">
        <v>119</v>
      </c>
      <c r="J767" s="4">
        <v>47</v>
      </c>
      <c r="K767" s="4">
        <v>40.92</v>
      </c>
      <c r="L767" s="4">
        <v>105</v>
      </c>
      <c r="M767" s="4">
        <v>20</v>
      </c>
      <c r="N767" s="4">
        <v>70</v>
      </c>
      <c r="O767" s="4">
        <v>30</v>
      </c>
      <c r="P767" s="4">
        <v>4.1331155036938103</v>
      </c>
      <c r="Q767" s="4">
        <v>7.7453257434410006E-2</v>
      </c>
      <c r="R767" s="4">
        <v>11</v>
      </c>
      <c r="S767" s="7" t="s">
        <v>33</v>
      </c>
      <c r="T767" s="4">
        <v>76829</v>
      </c>
      <c r="U767" s="4">
        <v>95106</v>
      </c>
      <c r="W767" s="4">
        <v>1000</v>
      </c>
      <c r="X767" s="4">
        <v>46106</v>
      </c>
      <c r="Y767" s="4">
        <v>49000</v>
      </c>
      <c r="AA767" s="4">
        <v>1000</v>
      </c>
      <c r="AB767" s="4">
        <v>28412</v>
      </c>
      <c r="AC767" s="4">
        <v>46174</v>
      </c>
      <c r="AE767" s="4">
        <v>2616</v>
      </c>
      <c r="AF767" s="4">
        <v>77202</v>
      </c>
      <c r="AG767" s="6">
        <v>2170</v>
      </c>
      <c r="AH767" s="6">
        <v>2170</v>
      </c>
      <c r="AL767" s="4">
        <v>944</v>
      </c>
      <c r="AM767" s="4">
        <v>12015</v>
      </c>
      <c r="AN767" s="4">
        <v>1585</v>
      </c>
      <c r="AV767" s="4">
        <v>379</v>
      </c>
      <c r="AW767" s="4">
        <v>539</v>
      </c>
    </row>
    <row r="768" spans="1:49" x14ac:dyDescent="0.2">
      <c r="A768" s="1">
        <v>43959</v>
      </c>
      <c r="B768">
        <f t="shared" ref="B768:B772" si="108">B767</f>
        <v>31.76</v>
      </c>
      <c r="C768" s="1" t="s">
        <v>58</v>
      </c>
      <c r="D768" s="1" t="s">
        <v>61</v>
      </c>
      <c r="E768" s="1" t="s">
        <v>66</v>
      </c>
      <c r="F768" s="1" t="s">
        <v>53</v>
      </c>
      <c r="G768">
        <v>568</v>
      </c>
      <c r="H768" s="4">
        <v>0</v>
      </c>
      <c r="I768" s="4">
        <v>135</v>
      </c>
      <c r="J768" s="4">
        <v>19</v>
      </c>
      <c r="K768" s="4">
        <v>37.92</v>
      </c>
      <c r="L768" s="4">
        <v>132</v>
      </c>
      <c r="M768" s="4">
        <v>21</v>
      </c>
      <c r="N768" s="4">
        <v>73</v>
      </c>
      <c r="O768" s="4">
        <v>24</v>
      </c>
      <c r="P768" s="4">
        <v>3.1105346199155699</v>
      </c>
      <c r="Q768" s="4">
        <v>5.7541209837652402E-2</v>
      </c>
      <c r="R768" s="4">
        <v>11</v>
      </c>
      <c r="S768" s="7" t="s">
        <v>33</v>
      </c>
      <c r="T768" s="4">
        <v>77378</v>
      </c>
      <c r="U768" s="4">
        <v>89170</v>
      </c>
      <c r="W768" s="4">
        <v>1000</v>
      </c>
      <c r="X768" s="4">
        <v>47170</v>
      </c>
      <c r="Y768" s="4">
        <v>42000</v>
      </c>
      <c r="AA768" s="4">
        <v>1000</v>
      </c>
      <c r="AB768" s="4">
        <v>32492</v>
      </c>
      <c r="AC768" s="4">
        <v>42344</v>
      </c>
      <c r="AE768" s="4">
        <v>3056</v>
      </c>
      <c r="AF768" s="4">
        <v>77892</v>
      </c>
      <c r="AG768" s="6">
        <v>3064</v>
      </c>
      <c r="AH768" s="6">
        <v>3064</v>
      </c>
      <c r="AL768" s="4">
        <v>909</v>
      </c>
      <c r="AM768" s="4">
        <v>12053</v>
      </c>
      <c r="AN768" s="4">
        <v>1642</v>
      </c>
      <c r="AV768" s="4">
        <v>384</v>
      </c>
      <c r="AW768" s="4">
        <v>569</v>
      </c>
    </row>
    <row r="769" spans="1:49" x14ac:dyDescent="0.2">
      <c r="A769" s="1">
        <v>43958</v>
      </c>
      <c r="B769">
        <f t="shared" si="108"/>
        <v>31.76</v>
      </c>
      <c r="C769" s="1" t="s">
        <v>58</v>
      </c>
      <c r="D769" s="1" t="s">
        <v>61</v>
      </c>
      <c r="E769" s="1" t="s">
        <v>66</v>
      </c>
      <c r="F769" s="1" t="s">
        <v>53</v>
      </c>
      <c r="G769">
        <v>562</v>
      </c>
      <c r="H769" s="4">
        <v>0</v>
      </c>
      <c r="I769" s="4">
        <v>131</v>
      </c>
      <c r="J769" s="4">
        <v>29</v>
      </c>
      <c r="K769" s="4">
        <v>30.98</v>
      </c>
      <c r="L769" s="4">
        <v>121</v>
      </c>
      <c r="M769" s="4">
        <v>25</v>
      </c>
      <c r="N769" s="4">
        <v>78</v>
      </c>
      <c r="O769" s="4">
        <v>27</v>
      </c>
      <c r="P769" s="4">
        <v>5.3880245711975903</v>
      </c>
      <c r="Q769" s="4">
        <v>7.8431407843361695E-2</v>
      </c>
      <c r="R769" s="4">
        <v>11</v>
      </c>
      <c r="S769" s="7" t="s">
        <v>33</v>
      </c>
      <c r="T769" s="4">
        <v>77619</v>
      </c>
      <c r="U769" s="4">
        <v>101321</v>
      </c>
      <c r="W769" s="4">
        <v>1000</v>
      </c>
      <c r="X769" s="4">
        <v>44321</v>
      </c>
      <c r="Y769" s="4">
        <v>57000</v>
      </c>
      <c r="AA769" s="4">
        <v>1000</v>
      </c>
      <c r="AB769" s="4">
        <v>33588</v>
      </c>
      <c r="AC769" s="4">
        <v>43153</v>
      </c>
      <c r="AE769" s="4">
        <v>2171</v>
      </c>
      <c r="AF769" s="4">
        <v>78912</v>
      </c>
      <c r="AG769" s="6">
        <v>3787</v>
      </c>
      <c r="AH769" s="6">
        <v>3787</v>
      </c>
      <c r="AL769" s="4">
        <v>1166</v>
      </c>
      <c r="AM769" s="4">
        <v>12626</v>
      </c>
      <c r="AN769" s="4">
        <v>1685</v>
      </c>
      <c r="AV769" s="4">
        <v>461</v>
      </c>
      <c r="AW769" s="4">
        <v>631</v>
      </c>
    </row>
    <row r="770" spans="1:49" x14ac:dyDescent="0.2">
      <c r="A770" s="1">
        <v>43957</v>
      </c>
      <c r="B770">
        <f t="shared" si="108"/>
        <v>31.76</v>
      </c>
      <c r="C770" s="1" t="s">
        <v>58</v>
      </c>
      <c r="D770" s="1" t="s">
        <v>61</v>
      </c>
      <c r="E770" s="1" t="s">
        <v>66</v>
      </c>
      <c r="F770" s="1" t="s">
        <v>53</v>
      </c>
      <c r="G770">
        <v>559</v>
      </c>
      <c r="H770" s="4">
        <v>0</v>
      </c>
      <c r="I770" s="4">
        <v>131</v>
      </c>
      <c r="J770" s="4">
        <v>29</v>
      </c>
      <c r="K770" s="4">
        <v>30.04</v>
      </c>
      <c r="L770" s="4">
        <v>116</v>
      </c>
      <c r="M770" s="4">
        <v>23</v>
      </c>
      <c r="N770" s="4">
        <v>73</v>
      </c>
      <c r="O770" s="4">
        <v>26</v>
      </c>
      <c r="P770" s="4">
        <v>5.3438651756239803</v>
      </c>
      <c r="Q770" s="4">
        <v>8.0768364795039793E-2</v>
      </c>
      <c r="R770" s="4">
        <v>11</v>
      </c>
      <c r="S770" s="7" t="s">
        <v>33</v>
      </c>
      <c r="T770" s="4">
        <v>74461</v>
      </c>
      <c r="U770" s="4">
        <v>99921</v>
      </c>
      <c r="W770" s="4">
        <v>1000</v>
      </c>
      <c r="X770" s="4">
        <v>42921</v>
      </c>
      <c r="Y770" s="4">
        <v>57000</v>
      </c>
      <c r="AA770" s="4">
        <v>1000</v>
      </c>
      <c r="AB770" s="4">
        <v>32667</v>
      </c>
      <c r="AC770" s="4">
        <v>40610</v>
      </c>
      <c r="AE770" s="4">
        <v>1484</v>
      </c>
      <c r="AF770" s="4">
        <v>74761</v>
      </c>
      <c r="AG770" s="6">
        <v>3832</v>
      </c>
      <c r="AH770" s="6">
        <v>3832</v>
      </c>
      <c r="AL770" s="4">
        <v>1204</v>
      </c>
      <c r="AM770" s="4">
        <v>13148</v>
      </c>
      <c r="AN770" s="4">
        <v>1802</v>
      </c>
      <c r="AV770" s="4">
        <v>460</v>
      </c>
      <c r="AW770" s="4">
        <v>627</v>
      </c>
    </row>
    <row r="771" spans="1:49" x14ac:dyDescent="0.2">
      <c r="A771" s="1">
        <v>43956</v>
      </c>
      <c r="B771">
        <f t="shared" si="108"/>
        <v>31.76</v>
      </c>
      <c r="C771" s="1" t="s">
        <v>58</v>
      </c>
      <c r="D771" s="1" t="s">
        <v>61</v>
      </c>
      <c r="E771" s="1" t="s">
        <v>66</v>
      </c>
      <c r="F771" s="1" t="s">
        <v>53</v>
      </c>
      <c r="G771">
        <v>549</v>
      </c>
      <c r="H771" s="4">
        <v>0</v>
      </c>
      <c r="I771" s="4">
        <v>131</v>
      </c>
      <c r="J771" s="4">
        <v>28</v>
      </c>
      <c r="K771" s="4">
        <v>28.09</v>
      </c>
      <c r="L771" s="4">
        <v>100</v>
      </c>
      <c r="M771" s="4">
        <v>23</v>
      </c>
      <c r="N771" s="4">
        <v>71</v>
      </c>
      <c r="O771" s="4">
        <v>25</v>
      </c>
      <c r="P771" s="4">
        <v>5.3745150667895398</v>
      </c>
      <c r="Q771" s="4">
        <v>8.7165789124947296E-2</v>
      </c>
      <c r="R771" s="4">
        <v>11</v>
      </c>
      <c r="S771" s="7" t="s">
        <v>33</v>
      </c>
      <c r="T771" s="4">
        <v>66981</v>
      </c>
      <c r="U771" s="4">
        <v>99454</v>
      </c>
      <c r="W771" s="4">
        <v>1000</v>
      </c>
      <c r="X771" s="4">
        <v>42454</v>
      </c>
      <c r="Y771" s="4">
        <v>57000</v>
      </c>
      <c r="AA771" s="4">
        <v>1000</v>
      </c>
      <c r="AB771" s="4">
        <v>32350</v>
      </c>
      <c r="AC771" s="4">
        <v>33453</v>
      </c>
      <c r="AE771" s="4">
        <v>1641</v>
      </c>
      <c r="AF771" s="4">
        <v>67444</v>
      </c>
      <c r="AG771" s="6">
        <v>3686</v>
      </c>
      <c r="AH771" s="6">
        <v>3686</v>
      </c>
      <c r="AL771" s="4">
        <v>1146</v>
      </c>
      <c r="AM771" s="4">
        <v>13723</v>
      </c>
      <c r="AN771" s="4">
        <v>1874</v>
      </c>
      <c r="AV771" s="4">
        <v>465</v>
      </c>
      <c r="AW771" s="4">
        <v>642</v>
      </c>
    </row>
    <row r="772" spans="1:49" x14ac:dyDescent="0.2">
      <c r="A772" s="1">
        <v>43955</v>
      </c>
      <c r="B772">
        <f t="shared" si="108"/>
        <v>31.76</v>
      </c>
      <c r="C772" s="1" t="s">
        <v>58</v>
      </c>
      <c r="D772" s="1" t="s">
        <v>61</v>
      </c>
      <c r="E772" s="1" t="s">
        <v>66</v>
      </c>
      <c r="F772" s="1" t="s">
        <v>53</v>
      </c>
      <c r="G772">
        <v>549</v>
      </c>
      <c r="H772" s="4">
        <v>0</v>
      </c>
      <c r="I772" s="4">
        <v>130</v>
      </c>
      <c r="J772" s="4">
        <v>28</v>
      </c>
      <c r="K772" s="4">
        <v>27.3</v>
      </c>
      <c r="L772" s="4">
        <v>111</v>
      </c>
      <c r="M772" s="4">
        <v>25</v>
      </c>
      <c r="N772" s="4">
        <v>71</v>
      </c>
      <c r="O772" s="4">
        <v>26</v>
      </c>
      <c r="P772" s="4">
        <v>5.5315324319373298</v>
      </c>
      <c r="Q772" s="4">
        <v>9.4781670950894098E-2</v>
      </c>
      <c r="R772" s="4">
        <v>11</v>
      </c>
      <c r="S772" s="7" t="s">
        <v>33</v>
      </c>
      <c r="T772" s="4">
        <v>73272</v>
      </c>
      <c r="U772" s="4">
        <v>93248</v>
      </c>
      <c r="W772" s="4">
        <v>1000</v>
      </c>
      <c r="X772" s="4">
        <v>42248</v>
      </c>
      <c r="Y772" s="4">
        <v>51000</v>
      </c>
      <c r="AA772" s="4">
        <v>1000</v>
      </c>
      <c r="AB772" s="4">
        <v>26866</v>
      </c>
      <c r="AC772" s="4">
        <v>44898</v>
      </c>
      <c r="AE772" s="4">
        <v>1304</v>
      </c>
      <c r="AF772" s="4">
        <v>73068</v>
      </c>
      <c r="AG772" s="6">
        <v>3398</v>
      </c>
      <c r="AH772" s="6">
        <v>3398</v>
      </c>
      <c r="AL772" s="4">
        <v>1249</v>
      </c>
      <c r="AM772" s="4">
        <v>14097</v>
      </c>
      <c r="AN772" s="4">
        <v>1936</v>
      </c>
      <c r="AV772" s="4">
        <v>484</v>
      </c>
      <c r="AW772" s="4">
        <v>676</v>
      </c>
    </row>
    <row r="773" spans="1:49" x14ac:dyDescent="0.2">
      <c r="A773" s="1">
        <v>43954</v>
      </c>
      <c r="B773">
        <v>76.31</v>
      </c>
      <c r="C773" s="1" t="s">
        <v>58</v>
      </c>
      <c r="D773" s="1" t="s">
        <v>61</v>
      </c>
      <c r="E773" s="1" t="s">
        <v>66</v>
      </c>
      <c r="F773" s="1" t="s">
        <v>53</v>
      </c>
      <c r="G773">
        <v>548</v>
      </c>
      <c r="H773" s="4">
        <v>0</v>
      </c>
      <c r="I773" s="4">
        <v>117</v>
      </c>
      <c r="J773" s="4">
        <v>47</v>
      </c>
      <c r="K773" s="4">
        <v>27.38</v>
      </c>
      <c r="L773" s="4">
        <v>77</v>
      </c>
      <c r="M773" s="4">
        <v>18</v>
      </c>
      <c r="N773" s="4">
        <v>60</v>
      </c>
      <c r="O773" s="4">
        <v>26</v>
      </c>
      <c r="P773" s="4">
        <v>4.2718871628600503</v>
      </c>
      <c r="Q773" s="4">
        <v>9.78060719563877E-2</v>
      </c>
      <c r="R773" s="4">
        <v>10</v>
      </c>
      <c r="S773" s="7" t="s">
        <v>33</v>
      </c>
      <c r="T773" s="4">
        <v>67975</v>
      </c>
      <c r="U773" s="4">
        <v>107108</v>
      </c>
      <c r="W773" s="4">
        <v>1000</v>
      </c>
      <c r="X773" s="4">
        <v>41108</v>
      </c>
      <c r="Y773" s="4">
        <v>66000</v>
      </c>
      <c r="AA773" s="4">
        <v>1000</v>
      </c>
      <c r="AB773" s="4">
        <v>25867</v>
      </c>
      <c r="AC773" s="4">
        <v>42336</v>
      </c>
      <c r="AE773" s="4">
        <v>614</v>
      </c>
      <c r="AF773" s="4">
        <v>68817</v>
      </c>
      <c r="AG773" s="6">
        <v>3002</v>
      </c>
      <c r="AH773" s="6">
        <v>3002</v>
      </c>
      <c r="AL773" s="4">
        <v>1188</v>
      </c>
      <c r="AM773" s="4">
        <v>14188</v>
      </c>
      <c r="AN773" s="4">
        <v>2009</v>
      </c>
      <c r="AV773" s="4">
        <v>450</v>
      </c>
      <c r="AW773" s="4">
        <v>662</v>
      </c>
    </row>
    <row r="774" spans="1:49" x14ac:dyDescent="0.2">
      <c r="A774" s="1">
        <v>43953</v>
      </c>
      <c r="B774">
        <f>B773</f>
        <v>76.31</v>
      </c>
      <c r="C774" s="1" t="s">
        <v>58</v>
      </c>
      <c r="D774" s="1" t="s">
        <v>61</v>
      </c>
      <c r="E774" s="1" t="s">
        <v>66</v>
      </c>
      <c r="F774" s="1" t="s">
        <v>53</v>
      </c>
      <c r="G774">
        <v>542</v>
      </c>
      <c r="H774" s="4">
        <v>0</v>
      </c>
      <c r="I774" s="4">
        <v>120</v>
      </c>
      <c r="J774" s="4">
        <v>46</v>
      </c>
      <c r="K774" s="4">
        <v>34.33</v>
      </c>
      <c r="L774" s="4">
        <v>83</v>
      </c>
      <c r="M774" s="4">
        <v>19</v>
      </c>
      <c r="N774" s="4">
        <v>69</v>
      </c>
      <c r="O774" s="4">
        <v>29</v>
      </c>
      <c r="P774" s="4">
        <v>4.0371971459906799</v>
      </c>
      <c r="Q774" s="4">
        <v>0.108468737245431</v>
      </c>
      <c r="R774" s="4">
        <v>9</v>
      </c>
      <c r="S774" s="7" t="s">
        <v>33</v>
      </c>
      <c r="T774" s="4">
        <v>63407</v>
      </c>
      <c r="U774" s="4">
        <v>107024</v>
      </c>
      <c r="W774" s="4">
        <v>1000</v>
      </c>
      <c r="X774" s="4">
        <v>41024</v>
      </c>
      <c r="Y774" s="4">
        <v>66000</v>
      </c>
      <c r="AA774" s="4">
        <v>1000</v>
      </c>
      <c r="AB774" s="4">
        <v>28052</v>
      </c>
      <c r="AC774" s="4">
        <v>35507</v>
      </c>
      <c r="AE774" s="4">
        <v>0</v>
      </c>
      <c r="AF774" s="4">
        <v>63559</v>
      </c>
      <c r="AG774" s="6">
        <v>3258</v>
      </c>
      <c r="AH774" s="6">
        <v>3258</v>
      </c>
      <c r="AL774" s="4">
        <v>1180</v>
      </c>
      <c r="AM774" s="4">
        <v>14380</v>
      </c>
      <c r="AN774" s="4">
        <v>2068</v>
      </c>
      <c r="AV774" s="4">
        <v>494</v>
      </c>
      <c r="AW774" s="4">
        <v>705</v>
      </c>
    </row>
    <row r="775" spans="1:49" x14ac:dyDescent="0.2">
      <c r="A775" s="1">
        <v>43952</v>
      </c>
      <c r="B775">
        <f t="shared" ref="B775:B779" si="109">B774</f>
        <v>76.31</v>
      </c>
      <c r="C775" s="1" t="s">
        <v>58</v>
      </c>
      <c r="D775" s="1" t="s">
        <v>61</v>
      </c>
      <c r="E775" s="1" t="s">
        <v>66</v>
      </c>
      <c r="F775" s="1" t="s">
        <v>53</v>
      </c>
      <c r="G775">
        <v>538</v>
      </c>
      <c r="H775" s="4">
        <v>0</v>
      </c>
      <c r="I775" s="4">
        <v>134</v>
      </c>
      <c r="J775" s="4">
        <v>28</v>
      </c>
      <c r="K775" s="4">
        <v>25</v>
      </c>
      <c r="L775" s="4">
        <v>68</v>
      </c>
      <c r="M775" s="4">
        <v>20</v>
      </c>
      <c r="N775" s="4">
        <v>70</v>
      </c>
      <c r="O775" s="4">
        <v>25</v>
      </c>
      <c r="P775" s="4">
        <v>5.0008060072689897</v>
      </c>
      <c r="Q775" s="4">
        <v>0.10572234006164601</v>
      </c>
      <c r="R775" s="4">
        <v>9</v>
      </c>
      <c r="S775" s="7" t="s">
        <v>33</v>
      </c>
      <c r="T775" s="4">
        <v>74155</v>
      </c>
      <c r="U775" s="4">
        <v>120979</v>
      </c>
      <c r="W775" s="4">
        <v>1000</v>
      </c>
      <c r="X775" s="4">
        <v>41979</v>
      </c>
      <c r="Y775" s="4">
        <v>79000</v>
      </c>
      <c r="AA775" s="4">
        <v>1000</v>
      </c>
      <c r="AB775" s="4">
        <v>39095</v>
      </c>
      <c r="AC775" s="4">
        <v>35047</v>
      </c>
      <c r="AE775" s="4">
        <v>751</v>
      </c>
      <c r="AF775" s="4">
        <v>74893</v>
      </c>
      <c r="AG775" s="6">
        <v>4766</v>
      </c>
      <c r="AH775" s="6">
        <v>4766</v>
      </c>
      <c r="AL775" s="4">
        <v>1262</v>
      </c>
      <c r="AM775" s="4">
        <v>14723</v>
      </c>
      <c r="AN775" s="4">
        <v>2178</v>
      </c>
      <c r="AV775" s="4">
        <v>568</v>
      </c>
      <c r="AW775" s="4">
        <v>786</v>
      </c>
    </row>
    <row r="776" spans="1:49" x14ac:dyDescent="0.2">
      <c r="A776" s="1">
        <v>43951</v>
      </c>
      <c r="B776">
        <f t="shared" si="109"/>
        <v>76.31</v>
      </c>
      <c r="C776" s="1" t="s">
        <v>58</v>
      </c>
      <c r="D776" s="1" t="s">
        <v>61</v>
      </c>
      <c r="E776" s="1" t="s">
        <v>66</v>
      </c>
      <c r="F776" s="1" t="s">
        <v>53</v>
      </c>
      <c r="G776">
        <v>533</v>
      </c>
      <c r="H776" s="4">
        <v>0</v>
      </c>
      <c r="I776" s="4">
        <v>134</v>
      </c>
      <c r="J776" s="4">
        <v>26</v>
      </c>
      <c r="K776" s="4">
        <v>20.88</v>
      </c>
      <c r="L776" s="4">
        <v>57</v>
      </c>
      <c r="M776" s="4">
        <v>19</v>
      </c>
      <c r="N776" s="4">
        <v>65</v>
      </c>
      <c r="O776" s="4">
        <v>22</v>
      </c>
      <c r="P776" s="4">
        <v>4.9131497994404798</v>
      </c>
      <c r="Q776" s="4">
        <v>0.109817061973044</v>
      </c>
      <c r="R776" s="4">
        <v>9</v>
      </c>
      <c r="S776" s="7" t="s">
        <v>33</v>
      </c>
      <c r="T776" s="4">
        <v>83619</v>
      </c>
      <c r="U776" s="4">
        <v>121715</v>
      </c>
      <c r="W776" s="4">
        <v>700</v>
      </c>
      <c r="X776" s="4">
        <v>42715</v>
      </c>
      <c r="Y776" s="4">
        <v>79000</v>
      </c>
      <c r="AA776" s="4">
        <v>700</v>
      </c>
      <c r="AB776" s="4">
        <v>39753</v>
      </c>
      <c r="AC776" s="4">
        <v>43390</v>
      </c>
      <c r="AE776" s="4">
        <v>1072</v>
      </c>
      <c r="AF776" s="4">
        <v>84215</v>
      </c>
      <c r="AG776" s="6">
        <v>4961</v>
      </c>
      <c r="AH776" s="6">
        <v>4961</v>
      </c>
      <c r="AL776" s="4">
        <v>1442</v>
      </c>
      <c r="AM776" s="4">
        <v>15164</v>
      </c>
      <c r="AN776" s="4">
        <v>2224</v>
      </c>
      <c r="AV776" s="4">
        <v>551</v>
      </c>
      <c r="AW776" s="4">
        <v>780</v>
      </c>
    </row>
    <row r="777" spans="1:49" x14ac:dyDescent="0.2">
      <c r="A777" s="1">
        <v>43950</v>
      </c>
      <c r="B777">
        <f t="shared" si="109"/>
        <v>76.31</v>
      </c>
      <c r="C777" s="1" t="s">
        <v>58</v>
      </c>
      <c r="D777" s="1" t="s">
        <v>61</v>
      </c>
      <c r="E777" s="1" t="s">
        <v>66</v>
      </c>
      <c r="F777" s="1" t="s">
        <v>53</v>
      </c>
      <c r="G777">
        <v>530</v>
      </c>
      <c r="H777" s="4">
        <v>0</v>
      </c>
      <c r="I777" s="4">
        <v>133</v>
      </c>
      <c r="J777" s="4">
        <v>27</v>
      </c>
      <c r="K777" s="4">
        <v>22.16</v>
      </c>
      <c r="L777" s="4">
        <v>65</v>
      </c>
      <c r="M777" s="4">
        <v>21</v>
      </c>
      <c r="N777" s="4">
        <v>67</v>
      </c>
      <c r="O777" s="4">
        <v>23</v>
      </c>
      <c r="P777" s="4">
        <v>4.9399378754588401</v>
      </c>
      <c r="Q777" s="4">
        <v>0.120529739184806</v>
      </c>
      <c r="R777" s="4">
        <v>9</v>
      </c>
      <c r="S777" s="7" t="s">
        <v>33</v>
      </c>
      <c r="T777" s="4">
        <v>65908</v>
      </c>
      <c r="U777" s="4">
        <v>85865</v>
      </c>
      <c r="W777" s="4">
        <v>700</v>
      </c>
      <c r="X777" s="4">
        <v>40365</v>
      </c>
      <c r="Y777" s="4">
        <v>45500</v>
      </c>
      <c r="AA777" s="4">
        <v>700</v>
      </c>
      <c r="AB777" s="4">
        <v>32150</v>
      </c>
      <c r="AC777" s="4">
        <v>33493</v>
      </c>
      <c r="AE777" s="4">
        <v>1150</v>
      </c>
      <c r="AF777" s="4">
        <v>66793</v>
      </c>
      <c r="AG777" s="6">
        <v>5433</v>
      </c>
      <c r="AH777" s="6">
        <v>5433</v>
      </c>
      <c r="AL777" s="4">
        <v>1488</v>
      </c>
      <c r="AM777" s="4">
        <v>15521</v>
      </c>
      <c r="AN777" s="4">
        <v>2286</v>
      </c>
      <c r="AV777" s="4">
        <v>573</v>
      </c>
      <c r="AW777" s="4">
        <v>817</v>
      </c>
    </row>
    <row r="778" spans="1:49" x14ac:dyDescent="0.2">
      <c r="A778" s="1">
        <v>43949</v>
      </c>
      <c r="B778">
        <f t="shared" si="109"/>
        <v>76.31</v>
      </c>
      <c r="C778" s="1" t="s">
        <v>58</v>
      </c>
      <c r="D778" s="1" t="s">
        <v>61</v>
      </c>
      <c r="E778" s="1" t="s">
        <v>66</v>
      </c>
      <c r="F778" s="1" t="s">
        <v>53</v>
      </c>
      <c r="G778">
        <v>529</v>
      </c>
      <c r="H778" s="4">
        <v>0</v>
      </c>
      <c r="I778" s="4">
        <v>132</v>
      </c>
      <c r="J778" s="4">
        <v>25</v>
      </c>
      <c r="K778" s="4">
        <v>18.510000000000002</v>
      </c>
      <c r="L778" s="4">
        <v>38</v>
      </c>
      <c r="M778" s="4">
        <v>18</v>
      </c>
      <c r="N778" s="4">
        <v>58</v>
      </c>
      <c r="O778" s="4">
        <v>20</v>
      </c>
      <c r="P778" s="4">
        <v>4.9190287251019296</v>
      </c>
      <c r="Q778" s="4">
        <v>0.118324675180765</v>
      </c>
      <c r="R778" s="4">
        <v>9</v>
      </c>
      <c r="S778" s="7" t="s">
        <v>33</v>
      </c>
      <c r="T778" s="4">
        <v>45263</v>
      </c>
      <c r="U778" s="4">
        <v>76665</v>
      </c>
      <c r="W778" s="4">
        <v>700</v>
      </c>
      <c r="X778" s="4">
        <v>40365</v>
      </c>
      <c r="Y778" s="4">
        <v>36300</v>
      </c>
      <c r="AA778" s="4">
        <v>700</v>
      </c>
      <c r="AB778" s="4">
        <v>23648</v>
      </c>
      <c r="AC778" s="4">
        <v>21615</v>
      </c>
      <c r="AE778" s="4">
        <v>242</v>
      </c>
      <c r="AF778" s="4">
        <v>45505</v>
      </c>
      <c r="AG778" s="6">
        <v>4719</v>
      </c>
      <c r="AH778" s="6">
        <v>4719</v>
      </c>
      <c r="AL778" s="4">
        <v>1518</v>
      </c>
      <c r="AM778" s="4">
        <v>15877</v>
      </c>
      <c r="AN778" s="4">
        <v>2353</v>
      </c>
      <c r="AV778" s="4">
        <v>559</v>
      </c>
      <c r="AW778" s="4">
        <v>801</v>
      </c>
    </row>
    <row r="779" spans="1:49" x14ac:dyDescent="0.2">
      <c r="A779" s="1">
        <v>43948</v>
      </c>
      <c r="B779">
        <f t="shared" si="109"/>
        <v>76.31</v>
      </c>
      <c r="C779" s="1" t="s">
        <v>58</v>
      </c>
      <c r="D779" s="1" t="s">
        <v>61</v>
      </c>
      <c r="E779" s="1" t="s">
        <v>66</v>
      </c>
      <c r="F779" s="1" t="s">
        <v>53</v>
      </c>
      <c r="G779">
        <v>526</v>
      </c>
      <c r="H779" s="4">
        <v>0</v>
      </c>
      <c r="I779" s="4">
        <v>131</v>
      </c>
      <c r="J779" s="4">
        <v>27</v>
      </c>
      <c r="K779" s="4">
        <v>24.59</v>
      </c>
      <c r="L779" s="4">
        <v>98</v>
      </c>
      <c r="M779" s="4">
        <v>24</v>
      </c>
      <c r="N779" s="4">
        <v>68</v>
      </c>
      <c r="O779" s="4">
        <v>24</v>
      </c>
      <c r="P779" s="4">
        <v>5.1943914718977302</v>
      </c>
      <c r="Q779" s="4">
        <v>0.15839003052940501</v>
      </c>
      <c r="R779" s="4">
        <v>10</v>
      </c>
      <c r="S779" s="7" t="s">
        <v>33</v>
      </c>
      <c r="T779" s="4">
        <v>32223</v>
      </c>
      <c r="U779" s="4">
        <v>72700</v>
      </c>
      <c r="W779" s="4">
        <v>700</v>
      </c>
      <c r="X779" s="4">
        <v>36700</v>
      </c>
      <c r="Y779" s="4">
        <v>36000</v>
      </c>
      <c r="AA779" s="4">
        <v>700</v>
      </c>
      <c r="AB779" s="4">
        <v>16440</v>
      </c>
      <c r="AC779" s="4">
        <v>15013</v>
      </c>
      <c r="AE779" s="4">
        <v>1834</v>
      </c>
      <c r="AF779" s="4">
        <v>33287</v>
      </c>
      <c r="AG779" s="6">
        <v>4739</v>
      </c>
      <c r="AH779" s="6">
        <v>4739</v>
      </c>
      <c r="AL779" s="4">
        <v>1536</v>
      </c>
      <c r="AM779" s="4">
        <v>16662</v>
      </c>
      <c r="AN779" s="4">
        <v>2460</v>
      </c>
      <c r="AV779" s="4">
        <v>595</v>
      </c>
      <c r="AW779" s="4">
        <v>866</v>
      </c>
    </row>
    <row r="780" spans="1:49" x14ac:dyDescent="0.2">
      <c r="A780" s="1">
        <v>43947</v>
      </c>
      <c r="B780">
        <v>104.08</v>
      </c>
      <c r="C780" s="1" t="s">
        <v>58</v>
      </c>
      <c r="D780" s="1" t="s">
        <v>61</v>
      </c>
      <c r="E780" s="1" t="s">
        <v>66</v>
      </c>
      <c r="F780" s="1" t="s">
        <v>53</v>
      </c>
      <c r="G780">
        <v>519</v>
      </c>
      <c r="H780" s="4">
        <v>0</v>
      </c>
      <c r="I780" s="4">
        <v>116</v>
      </c>
      <c r="J780" s="4">
        <v>46</v>
      </c>
      <c r="K780" s="4">
        <v>32.090000000000003</v>
      </c>
      <c r="L780" s="4">
        <v>105</v>
      </c>
      <c r="M780" s="4">
        <v>19</v>
      </c>
      <c r="N780" s="4">
        <v>62</v>
      </c>
      <c r="O780" s="4">
        <v>28</v>
      </c>
      <c r="P780" s="4">
        <v>4.1522097501248396</v>
      </c>
      <c r="Q780" s="4">
        <v>0.167498495368085</v>
      </c>
      <c r="R780" s="4">
        <v>10</v>
      </c>
      <c r="S780" s="7" t="s">
        <v>33</v>
      </c>
      <c r="T780" s="4">
        <v>31550</v>
      </c>
      <c r="U780" s="4">
        <v>51762</v>
      </c>
      <c r="W780" s="4">
        <v>500</v>
      </c>
      <c r="X780" s="4">
        <v>26262</v>
      </c>
      <c r="Y780" s="4">
        <v>25500</v>
      </c>
      <c r="AA780" s="4">
        <v>500</v>
      </c>
      <c r="AB780" s="4">
        <v>17968</v>
      </c>
      <c r="AC780" s="4">
        <v>13642</v>
      </c>
      <c r="AE780" s="4">
        <v>0</v>
      </c>
      <c r="AF780" s="4">
        <v>31610</v>
      </c>
      <c r="AG780" s="6">
        <v>3476</v>
      </c>
      <c r="AH780" s="6">
        <v>3476</v>
      </c>
      <c r="AL780" s="4">
        <v>1355</v>
      </c>
      <c r="AM780" s="4">
        <v>16555</v>
      </c>
      <c r="AN780" s="4">
        <v>2580</v>
      </c>
      <c r="AV780" s="4">
        <v>633</v>
      </c>
      <c r="AW780" s="4">
        <v>894</v>
      </c>
    </row>
    <row r="781" spans="1:49" x14ac:dyDescent="0.2">
      <c r="A781" s="1">
        <v>43946</v>
      </c>
      <c r="B781">
        <f>B780</f>
        <v>104.08</v>
      </c>
      <c r="C781" s="1" t="s">
        <v>58</v>
      </c>
      <c r="D781" s="1" t="s">
        <v>61</v>
      </c>
      <c r="E781" s="1" t="s">
        <v>66</v>
      </c>
      <c r="F781" s="1" t="s">
        <v>53</v>
      </c>
      <c r="G781">
        <v>516</v>
      </c>
      <c r="H781" s="4">
        <v>0</v>
      </c>
      <c r="I781" s="4">
        <v>121</v>
      </c>
      <c r="J781" s="4">
        <v>43</v>
      </c>
      <c r="K781" s="4">
        <v>32.119999999999997</v>
      </c>
      <c r="L781" s="4">
        <v>75</v>
      </c>
      <c r="M781" s="4">
        <v>18</v>
      </c>
      <c r="N781" s="4">
        <v>65</v>
      </c>
      <c r="O781" s="4">
        <v>26</v>
      </c>
      <c r="P781" s="4">
        <v>3.72253269485135</v>
      </c>
      <c r="Q781" s="4">
        <v>0.18361505816497201</v>
      </c>
      <c r="R781" s="4">
        <v>8</v>
      </c>
      <c r="S781" s="7" t="s">
        <v>33</v>
      </c>
      <c r="T781" s="4">
        <v>29009</v>
      </c>
      <c r="U781" s="4">
        <v>53392</v>
      </c>
      <c r="W781" s="4">
        <v>500</v>
      </c>
      <c r="X781" s="4">
        <v>26262</v>
      </c>
      <c r="Y781" s="4">
        <v>27130</v>
      </c>
      <c r="AA781" s="4">
        <v>500</v>
      </c>
      <c r="AB781" s="4">
        <v>17939</v>
      </c>
      <c r="AC781" s="4">
        <v>11119</v>
      </c>
      <c r="AE781" s="4">
        <v>0</v>
      </c>
      <c r="AF781" s="4">
        <v>29058</v>
      </c>
      <c r="AG781" s="6">
        <v>3757</v>
      </c>
      <c r="AH781" s="6">
        <v>3757</v>
      </c>
      <c r="AL781" s="4">
        <v>1253</v>
      </c>
      <c r="AM781" s="4">
        <v>16604</v>
      </c>
      <c r="AN781" s="4">
        <v>2702</v>
      </c>
      <c r="AV781" s="4">
        <v>647</v>
      </c>
      <c r="AW781" s="4">
        <v>919</v>
      </c>
    </row>
    <row r="782" spans="1:49" x14ac:dyDescent="0.2">
      <c r="A782" s="1">
        <v>43945</v>
      </c>
      <c r="B782">
        <f t="shared" ref="B782:B786" si="110">B781</f>
        <v>104.08</v>
      </c>
      <c r="C782" s="1" t="s">
        <v>58</v>
      </c>
      <c r="D782" s="1" t="s">
        <v>61</v>
      </c>
      <c r="E782" s="1" t="s">
        <v>66</v>
      </c>
      <c r="F782" s="1" t="s">
        <v>53</v>
      </c>
      <c r="G782">
        <v>509</v>
      </c>
      <c r="H782" s="4">
        <v>0</v>
      </c>
      <c r="I782" s="4">
        <v>134</v>
      </c>
      <c r="J782" s="4">
        <v>27</v>
      </c>
      <c r="K782" s="4">
        <v>28.31</v>
      </c>
      <c r="L782" s="4">
        <v>95</v>
      </c>
      <c r="M782" s="4">
        <v>21</v>
      </c>
      <c r="N782" s="4">
        <v>70</v>
      </c>
      <c r="O782" s="4">
        <v>25</v>
      </c>
      <c r="P782" s="4">
        <v>4.7131252573662996</v>
      </c>
      <c r="Q782" s="4">
        <v>0.20245386608616001</v>
      </c>
      <c r="R782" s="4">
        <v>9</v>
      </c>
      <c r="S782" s="7" t="s">
        <v>33</v>
      </c>
      <c r="T782" s="4">
        <v>28144</v>
      </c>
      <c r="U782" s="4">
        <v>49362</v>
      </c>
      <c r="W782" s="4">
        <v>500</v>
      </c>
      <c r="X782" s="4">
        <v>26262</v>
      </c>
      <c r="Y782" s="4">
        <v>23100</v>
      </c>
      <c r="AA782" s="4">
        <v>500</v>
      </c>
      <c r="AB782" s="4">
        <v>21981</v>
      </c>
      <c r="AC782" s="4">
        <v>6244</v>
      </c>
      <c r="AE782" s="4">
        <v>535</v>
      </c>
      <c r="AF782" s="4">
        <v>28760</v>
      </c>
      <c r="AG782" s="6">
        <v>4961</v>
      </c>
      <c r="AH782" s="6">
        <v>4961</v>
      </c>
      <c r="AL782" s="4">
        <v>1525</v>
      </c>
      <c r="AM782" s="4">
        <v>17063</v>
      </c>
      <c r="AN782" s="4">
        <v>2703</v>
      </c>
      <c r="AV782" s="4">
        <v>683</v>
      </c>
      <c r="AW782" s="4">
        <v>1005</v>
      </c>
    </row>
    <row r="783" spans="1:49" x14ac:dyDescent="0.2">
      <c r="A783" s="1">
        <v>43944</v>
      </c>
      <c r="B783">
        <f t="shared" si="110"/>
        <v>104.08</v>
      </c>
      <c r="C783" s="1" t="s">
        <v>58</v>
      </c>
      <c r="D783" s="1" t="s">
        <v>61</v>
      </c>
      <c r="E783" s="1" t="s">
        <v>66</v>
      </c>
      <c r="F783" s="1" t="s">
        <v>53</v>
      </c>
      <c r="G783">
        <v>505</v>
      </c>
      <c r="H783" s="4">
        <v>0</v>
      </c>
      <c r="I783" s="4">
        <v>133</v>
      </c>
      <c r="J783" s="4">
        <v>26</v>
      </c>
      <c r="K783" s="4">
        <v>27.79</v>
      </c>
      <c r="L783" s="4">
        <v>108</v>
      </c>
      <c r="M783" s="4">
        <v>22</v>
      </c>
      <c r="N783" s="4">
        <v>70</v>
      </c>
      <c r="O783" s="4">
        <v>23</v>
      </c>
      <c r="P783" s="4">
        <v>4.7053285199290302</v>
      </c>
      <c r="Q783" s="4">
        <v>0.21654137700630199</v>
      </c>
      <c r="R783" s="4">
        <v>9</v>
      </c>
      <c r="S783" s="7" t="s">
        <v>33</v>
      </c>
      <c r="T783" s="4">
        <v>28432</v>
      </c>
      <c r="U783" s="4">
        <v>53367</v>
      </c>
      <c r="W783" s="4">
        <v>500</v>
      </c>
      <c r="X783" s="4">
        <v>26262</v>
      </c>
      <c r="Y783" s="4">
        <v>27105</v>
      </c>
      <c r="AA783" s="4">
        <v>500</v>
      </c>
      <c r="AB783" s="4">
        <v>20365</v>
      </c>
      <c r="AC783" s="4">
        <v>7659</v>
      </c>
      <c r="AE783" s="4">
        <v>508</v>
      </c>
      <c r="AF783" s="4">
        <v>28532</v>
      </c>
      <c r="AG783" s="6">
        <v>5167</v>
      </c>
      <c r="AH783" s="6">
        <v>5167</v>
      </c>
      <c r="AL783" s="4">
        <v>1512</v>
      </c>
      <c r="AM783" s="4">
        <v>17867</v>
      </c>
      <c r="AN783" s="4">
        <v>2867</v>
      </c>
      <c r="AV783" s="4">
        <v>678</v>
      </c>
      <c r="AW783" s="4">
        <v>1038</v>
      </c>
    </row>
    <row r="784" spans="1:49" x14ac:dyDescent="0.2">
      <c r="A784" s="1">
        <v>43943</v>
      </c>
      <c r="B784">
        <f t="shared" si="110"/>
        <v>104.08</v>
      </c>
      <c r="C784" s="1" t="s">
        <v>58</v>
      </c>
      <c r="D784" s="1" t="s">
        <v>61</v>
      </c>
      <c r="E784" s="1" t="s">
        <v>66</v>
      </c>
      <c r="F784" s="1" t="s">
        <v>53</v>
      </c>
      <c r="G784">
        <v>478</v>
      </c>
      <c r="H784" s="4">
        <v>0</v>
      </c>
      <c r="I784" s="4">
        <v>133</v>
      </c>
      <c r="J784" s="4">
        <v>26</v>
      </c>
      <c r="K784" s="4">
        <v>27.74</v>
      </c>
      <c r="L784" s="4">
        <v>103</v>
      </c>
      <c r="M784" s="4">
        <v>21</v>
      </c>
      <c r="N784" s="4">
        <v>68</v>
      </c>
      <c r="O784" s="4">
        <v>23</v>
      </c>
      <c r="P784" s="4">
        <v>4.6302122705458499</v>
      </c>
      <c r="Q784" s="4">
        <v>0.26339861822668098</v>
      </c>
      <c r="R784" s="4">
        <v>9</v>
      </c>
      <c r="S784" s="7" t="s">
        <v>33</v>
      </c>
      <c r="T784" s="4">
        <v>23153</v>
      </c>
      <c r="U784" s="4">
        <v>50621</v>
      </c>
      <c r="W784" s="4">
        <v>500</v>
      </c>
      <c r="X784" s="4">
        <v>25598</v>
      </c>
      <c r="Y784" s="4">
        <v>25023</v>
      </c>
      <c r="AA784" s="4">
        <v>500</v>
      </c>
      <c r="AB784" s="4">
        <v>20088</v>
      </c>
      <c r="AC784" s="4">
        <v>2985</v>
      </c>
      <c r="AE784" s="4">
        <v>487</v>
      </c>
      <c r="AF784" s="4">
        <v>23560</v>
      </c>
      <c r="AG784" s="6">
        <v>5517</v>
      </c>
      <c r="AH784" s="6">
        <v>5517</v>
      </c>
      <c r="AL784" s="4">
        <v>1530</v>
      </c>
      <c r="AM784" s="4">
        <v>18533</v>
      </c>
      <c r="AN784" s="4">
        <v>2964</v>
      </c>
      <c r="AV784" s="4">
        <v>731</v>
      </c>
      <c r="AW784" s="4">
        <v>1102</v>
      </c>
    </row>
    <row r="785" spans="1:49" x14ac:dyDescent="0.2">
      <c r="A785" s="1">
        <v>43942</v>
      </c>
      <c r="B785">
        <f t="shared" si="110"/>
        <v>104.08</v>
      </c>
      <c r="C785" s="1" t="s">
        <v>58</v>
      </c>
      <c r="D785" s="1" t="s">
        <v>61</v>
      </c>
      <c r="E785" s="1" t="s">
        <v>66</v>
      </c>
      <c r="F785" s="1" t="s">
        <v>53</v>
      </c>
      <c r="G785">
        <v>470</v>
      </c>
      <c r="H785" s="4">
        <v>0</v>
      </c>
      <c r="I785" s="4">
        <v>133</v>
      </c>
      <c r="J785" s="4">
        <v>25</v>
      </c>
      <c r="K785" s="4">
        <v>26.45</v>
      </c>
      <c r="L785" s="4">
        <v>97</v>
      </c>
      <c r="M785" s="4">
        <v>22</v>
      </c>
      <c r="N785" s="4">
        <v>67</v>
      </c>
      <c r="O785" s="4">
        <v>23</v>
      </c>
      <c r="P785" s="4">
        <v>4.7239801251816704</v>
      </c>
      <c r="Q785" s="4">
        <v>0.34599380719199302</v>
      </c>
      <c r="R785" s="4">
        <v>9</v>
      </c>
      <c r="S785" s="7" t="s">
        <v>33</v>
      </c>
      <c r="T785" s="4">
        <v>22787</v>
      </c>
      <c r="U785" s="4">
        <v>47773</v>
      </c>
      <c r="W785" s="4">
        <v>500</v>
      </c>
      <c r="X785" s="4">
        <v>25598</v>
      </c>
      <c r="Y785" s="4">
        <v>22175</v>
      </c>
      <c r="AA785" s="4">
        <v>500</v>
      </c>
      <c r="AB785" s="4">
        <v>20063</v>
      </c>
      <c r="AC785" s="4">
        <v>2700</v>
      </c>
      <c r="AE785" s="4">
        <v>51</v>
      </c>
      <c r="AF785" s="4">
        <v>22814</v>
      </c>
      <c r="AG785" s="6">
        <v>4795</v>
      </c>
      <c r="AH785" s="6">
        <v>4795</v>
      </c>
      <c r="AL785" s="4">
        <v>1712</v>
      </c>
      <c r="AM785" s="4">
        <v>19139</v>
      </c>
      <c r="AN785" s="4">
        <v>3036</v>
      </c>
      <c r="AV785" s="4">
        <v>745</v>
      </c>
      <c r="AW785" s="4">
        <v>1085</v>
      </c>
    </row>
    <row r="786" spans="1:49" x14ac:dyDescent="0.2">
      <c r="A786" s="1">
        <v>43941</v>
      </c>
      <c r="B786">
        <f t="shared" si="110"/>
        <v>104.08</v>
      </c>
      <c r="C786" s="1" t="s">
        <v>58</v>
      </c>
      <c r="D786" s="1" t="s">
        <v>61</v>
      </c>
      <c r="E786" s="1" t="s">
        <v>66</v>
      </c>
      <c r="F786" s="1" t="s">
        <v>53</v>
      </c>
      <c r="G786">
        <v>463</v>
      </c>
      <c r="H786" s="4">
        <v>0</v>
      </c>
      <c r="I786" s="4">
        <v>132</v>
      </c>
      <c r="J786" s="4">
        <v>25</v>
      </c>
      <c r="K786" s="4">
        <v>26.56</v>
      </c>
      <c r="L786" s="4">
        <v>101</v>
      </c>
      <c r="M786" s="4">
        <v>23</v>
      </c>
      <c r="N786" s="4">
        <v>66</v>
      </c>
      <c r="O786" s="4">
        <v>23</v>
      </c>
      <c r="P786" s="4">
        <v>5.0288206530734003</v>
      </c>
      <c r="Q786" s="4">
        <v>0.58196349719635798</v>
      </c>
      <c r="R786" s="4">
        <v>10</v>
      </c>
      <c r="S786" s="7" t="s">
        <v>33</v>
      </c>
      <c r="U786" s="4">
        <v>40898</v>
      </c>
      <c r="W786" s="4">
        <v>500</v>
      </c>
      <c r="X786" s="4">
        <v>25098</v>
      </c>
      <c r="Y786" s="4">
        <v>15800</v>
      </c>
      <c r="AA786" s="4">
        <v>500</v>
      </c>
      <c r="AB786" s="4">
        <v>14908</v>
      </c>
      <c r="AC786" s="4">
        <v>2457</v>
      </c>
      <c r="AE786" s="4">
        <v>605</v>
      </c>
      <c r="AF786" s="4">
        <v>17970</v>
      </c>
      <c r="AG786" s="6">
        <v>4441</v>
      </c>
      <c r="AH786" s="6">
        <v>4441</v>
      </c>
      <c r="AL786" s="4">
        <v>1736</v>
      </c>
      <c r="AM786" s="4">
        <v>19331</v>
      </c>
      <c r="AN786" s="4">
        <v>3130</v>
      </c>
      <c r="AV786" s="4">
        <v>783</v>
      </c>
      <c r="AW786" s="4">
        <v>1160</v>
      </c>
    </row>
    <row r="787" spans="1:49" x14ac:dyDescent="0.2">
      <c r="A787" s="1">
        <v>43940</v>
      </c>
      <c r="B787">
        <v>107.25</v>
      </c>
      <c r="C787" s="1" t="s">
        <v>58</v>
      </c>
      <c r="D787" s="1" t="s">
        <v>61</v>
      </c>
      <c r="E787" s="1" t="s">
        <v>66</v>
      </c>
      <c r="F787" s="1" t="s">
        <v>53</v>
      </c>
      <c r="G787">
        <v>452</v>
      </c>
      <c r="H787" s="4">
        <v>0</v>
      </c>
      <c r="I787" s="4">
        <v>117</v>
      </c>
      <c r="J787" s="4">
        <v>44</v>
      </c>
      <c r="K787" s="4">
        <v>30.4</v>
      </c>
      <c r="L787" s="4">
        <v>94</v>
      </c>
      <c r="M787" s="4">
        <v>17</v>
      </c>
      <c r="N787" s="4">
        <v>58</v>
      </c>
      <c r="O787" s="4">
        <v>25</v>
      </c>
      <c r="P787" s="4">
        <v>4.3812768053189997</v>
      </c>
      <c r="Q787" s="4">
        <v>12.522919300155699</v>
      </c>
      <c r="R787" s="4">
        <v>9</v>
      </c>
      <c r="S787" s="7" t="s">
        <v>33</v>
      </c>
      <c r="U787" s="4">
        <v>39898</v>
      </c>
      <c r="W787" s="4">
        <v>500</v>
      </c>
      <c r="X787" s="4">
        <v>24098</v>
      </c>
      <c r="Y787" s="4">
        <v>15800</v>
      </c>
      <c r="AA787" s="4">
        <v>500</v>
      </c>
      <c r="AB787" s="4">
        <v>13460</v>
      </c>
      <c r="AC787" s="4">
        <v>5856</v>
      </c>
      <c r="AE787" s="4">
        <v>0</v>
      </c>
      <c r="AF787" s="4">
        <v>19316</v>
      </c>
      <c r="AG787" s="6">
        <v>3881</v>
      </c>
      <c r="AH787" s="6">
        <v>3881</v>
      </c>
      <c r="AL787" s="4">
        <v>1657</v>
      </c>
      <c r="AM787" s="4">
        <v>19574</v>
      </c>
      <c r="AN787" s="4">
        <v>3176</v>
      </c>
      <c r="AV787" s="4">
        <v>771</v>
      </c>
      <c r="AW787" s="4">
        <v>1122</v>
      </c>
    </row>
    <row r="788" spans="1:49" x14ac:dyDescent="0.2">
      <c r="A788" s="1">
        <v>43939</v>
      </c>
      <c r="B788">
        <f>B787</f>
        <v>107.25</v>
      </c>
      <c r="C788" s="1" t="s">
        <v>58</v>
      </c>
      <c r="D788" s="1" t="s">
        <v>61</v>
      </c>
      <c r="E788" s="1" t="s">
        <v>66</v>
      </c>
      <c r="F788" s="1" t="s">
        <v>53</v>
      </c>
      <c r="G788">
        <v>449</v>
      </c>
      <c r="H788" s="4">
        <v>0</v>
      </c>
      <c r="I788" s="4">
        <v>123</v>
      </c>
      <c r="J788" s="4">
        <v>41</v>
      </c>
      <c r="K788" s="4">
        <v>26.36</v>
      </c>
      <c r="L788" s="4">
        <v>53</v>
      </c>
      <c r="M788" s="4">
        <v>16</v>
      </c>
      <c r="N788" s="4">
        <v>62</v>
      </c>
      <c r="O788" s="4">
        <v>23</v>
      </c>
      <c r="P788" s="4">
        <v>3.7576214240576902</v>
      </c>
      <c r="Q788" s="4">
        <v>15.8943653769841</v>
      </c>
      <c r="R788" s="4">
        <v>7</v>
      </c>
      <c r="S788" s="7" t="s">
        <v>33</v>
      </c>
      <c r="U788" s="4">
        <v>35898</v>
      </c>
      <c r="W788" s="4">
        <v>500</v>
      </c>
      <c r="X788" s="4">
        <v>24098</v>
      </c>
      <c r="Y788" s="4">
        <v>11800</v>
      </c>
      <c r="AA788" s="4">
        <v>500</v>
      </c>
      <c r="AB788" s="4">
        <v>16460</v>
      </c>
      <c r="AC788" s="4">
        <v>4789</v>
      </c>
      <c r="AE788" s="4">
        <v>377</v>
      </c>
      <c r="AF788" s="4">
        <v>21626</v>
      </c>
      <c r="AG788" s="6">
        <v>4743</v>
      </c>
      <c r="AH788" s="6">
        <v>4743</v>
      </c>
      <c r="AL788" s="4">
        <v>1630</v>
      </c>
      <c r="AM788" s="4">
        <v>19456</v>
      </c>
      <c r="AN788" s="4">
        <v>3247</v>
      </c>
      <c r="AV788" s="4">
        <v>800</v>
      </c>
      <c r="AW788" s="4">
        <v>1189</v>
      </c>
    </row>
    <row r="789" spans="1:49" x14ac:dyDescent="0.2">
      <c r="A789" s="1">
        <v>43938</v>
      </c>
      <c r="B789">
        <f t="shared" ref="B789:B793" si="111">B788</f>
        <v>107.25</v>
      </c>
      <c r="C789" s="1" t="s">
        <v>58</v>
      </c>
      <c r="D789" s="1" t="s">
        <v>61</v>
      </c>
      <c r="E789" s="1" t="s">
        <v>66</v>
      </c>
      <c r="F789" s="1" t="s">
        <v>53</v>
      </c>
      <c r="G789">
        <v>453</v>
      </c>
      <c r="H789" s="4">
        <v>0</v>
      </c>
      <c r="I789" s="4">
        <v>136</v>
      </c>
      <c r="J789" s="4">
        <v>25</v>
      </c>
      <c r="K789" s="4">
        <v>23.27</v>
      </c>
      <c r="L789" s="4">
        <v>57</v>
      </c>
      <c r="M789" s="4">
        <v>19</v>
      </c>
      <c r="N789" s="4">
        <v>66</v>
      </c>
      <c r="O789" s="4">
        <v>21</v>
      </c>
      <c r="P789" s="4">
        <v>4.6965554984113398</v>
      </c>
      <c r="Q789" s="4">
        <v>16.037910409588601</v>
      </c>
      <c r="R789" s="4">
        <v>8</v>
      </c>
      <c r="S789" s="7" t="s">
        <v>33</v>
      </c>
      <c r="U789" s="4">
        <v>34308</v>
      </c>
      <c r="W789" s="4">
        <v>500</v>
      </c>
      <c r="X789" s="4">
        <v>24308</v>
      </c>
      <c r="Y789" s="4">
        <v>10000</v>
      </c>
      <c r="AA789" s="4">
        <v>500</v>
      </c>
      <c r="AB789" s="4">
        <v>17308</v>
      </c>
      <c r="AC789" s="4">
        <v>3773</v>
      </c>
      <c r="AE789" s="4">
        <v>308</v>
      </c>
      <c r="AF789" s="4">
        <v>21389</v>
      </c>
      <c r="AG789" s="6">
        <v>4977</v>
      </c>
      <c r="AH789" s="6">
        <v>4977</v>
      </c>
      <c r="AL789" s="4">
        <v>1966</v>
      </c>
      <c r="AM789" s="4">
        <v>19330</v>
      </c>
      <c r="AN789" s="4">
        <v>3162</v>
      </c>
      <c r="AV789" s="4">
        <v>819</v>
      </c>
      <c r="AW789" s="4">
        <v>1272</v>
      </c>
    </row>
    <row r="790" spans="1:49" x14ac:dyDescent="0.2">
      <c r="A790" s="1">
        <v>43937</v>
      </c>
      <c r="B790">
        <f t="shared" si="111"/>
        <v>107.25</v>
      </c>
      <c r="C790" s="1" t="s">
        <v>58</v>
      </c>
      <c r="D790" s="1" t="s">
        <v>61</v>
      </c>
      <c r="E790" s="1" t="s">
        <v>66</v>
      </c>
      <c r="F790" s="1" t="s">
        <v>53</v>
      </c>
      <c r="G790">
        <v>462</v>
      </c>
      <c r="H790" s="4">
        <v>0</v>
      </c>
      <c r="I790" s="4">
        <v>134</v>
      </c>
      <c r="J790" s="4">
        <v>24</v>
      </c>
      <c r="K790" s="4">
        <v>26.4</v>
      </c>
      <c r="L790" s="4">
        <v>85</v>
      </c>
      <c r="M790" s="4">
        <v>21</v>
      </c>
      <c r="N790" s="4">
        <v>68</v>
      </c>
      <c r="O790" s="4">
        <v>21</v>
      </c>
      <c r="P790" s="4">
        <v>4.6512543044607204</v>
      </c>
      <c r="Q790" s="4">
        <v>15.818451500062</v>
      </c>
      <c r="R790" s="4">
        <v>8</v>
      </c>
      <c r="S790" s="7" t="s">
        <v>33</v>
      </c>
      <c r="U790" s="4">
        <v>38608</v>
      </c>
      <c r="W790" s="4">
        <v>500</v>
      </c>
      <c r="X790" s="4">
        <v>24308</v>
      </c>
      <c r="Y790" s="4">
        <v>14300</v>
      </c>
      <c r="AA790" s="4">
        <v>500</v>
      </c>
      <c r="AB790" s="4">
        <v>17763</v>
      </c>
      <c r="AC790" s="4">
        <v>3143</v>
      </c>
      <c r="AE790" s="4">
        <v>422</v>
      </c>
      <c r="AF790" s="4">
        <v>21328</v>
      </c>
      <c r="AG790" s="6">
        <v>5292</v>
      </c>
      <c r="AH790" s="6">
        <v>5292</v>
      </c>
      <c r="AL790" s="4">
        <v>2011</v>
      </c>
      <c r="AM790" s="4">
        <v>20389</v>
      </c>
      <c r="AN790" s="4">
        <v>3222</v>
      </c>
      <c r="AV790" s="4">
        <v>843</v>
      </c>
      <c r="AW790" s="4">
        <v>1322</v>
      </c>
    </row>
    <row r="791" spans="1:49" x14ac:dyDescent="0.2">
      <c r="A791" s="1">
        <v>43936</v>
      </c>
      <c r="B791">
        <f t="shared" si="111"/>
        <v>107.25</v>
      </c>
      <c r="C791" s="1" t="s">
        <v>58</v>
      </c>
      <c r="D791" s="1" t="s">
        <v>61</v>
      </c>
      <c r="E791" s="1" t="s">
        <v>66</v>
      </c>
      <c r="F791" s="1" t="s">
        <v>53</v>
      </c>
      <c r="G791">
        <v>483</v>
      </c>
      <c r="H791" s="4">
        <v>0</v>
      </c>
      <c r="I791" s="4">
        <v>134</v>
      </c>
      <c r="J791" s="4">
        <v>23</v>
      </c>
      <c r="K791" s="4">
        <v>27.44</v>
      </c>
      <c r="L791" s="4">
        <v>94</v>
      </c>
      <c r="M791" s="4">
        <v>21</v>
      </c>
      <c r="N791" s="4">
        <v>68</v>
      </c>
      <c r="O791" s="4">
        <v>22</v>
      </c>
      <c r="P791" s="4">
        <v>4.7295646674559899</v>
      </c>
      <c r="Q791" s="4">
        <v>15.8535450580082</v>
      </c>
      <c r="R791" s="4">
        <v>9</v>
      </c>
      <c r="S791" s="7" t="s">
        <v>33</v>
      </c>
      <c r="U791" s="4">
        <v>38266</v>
      </c>
      <c r="W791" s="4">
        <v>500</v>
      </c>
      <c r="X791" s="4">
        <v>23966</v>
      </c>
      <c r="Y791" s="4">
        <v>14300</v>
      </c>
      <c r="AA791" s="4">
        <v>500</v>
      </c>
      <c r="AB791" s="4">
        <v>16166</v>
      </c>
      <c r="AC791" s="4">
        <v>2323</v>
      </c>
      <c r="AE791" s="4">
        <v>176</v>
      </c>
      <c r="AF791" s="4">
        <v>18665</v>
      </c>
      <c r="AG791" s="6">
        <v>5070</v>
      </c>
      <c r="AH791" s="6">
        <v>5070</v>
      </c>
      <c r="AL791" s="4">
        <v>1880</v>
      </c>
      <c r="AM791" s="4">
        <v>20582</v>
      </c>
      <c r="AN791" s="4">
        <v>3228</v>
      </c>
      <c r="AV791" s="4">
        <v>878</v>
      </c>
      <c r="AW791" s="4">
        <v>1276</v>
      </c>
    </row>
    <row r="792" spans="1:49" x14ac:dyDescent="0.2">
      <c r="A792" s="1">
        <v>43935</v>
      </c>
      <c r="B792">
        <f t="shared" si="111"/>
        <v>107.25</v>
      </c>
      <c r="C792" s="1" t="s">
        <v>58</v>
      </c>
      <c r="D792" s="1" t="s">
        <v>61</v>
      </c>
      <c r="E792" s="1" t="s">
        <v>66</v>
      </c>
      <c r="F792" s="1" t="s">
        <v>53</v>
      </c>
      <c r="G792">
        <v>500</v>
      </c>
      <c r="H792" s="4">
        <v>0</v>
      </c>
      <c r="I792" s="4">
        <v>133</v>
      </c>
      <c r="J792" s="4">
        <v>23</v>
      </c>
      <c r="K792" s="4">
        <v>25.66</v>
      </c>
      <c r="L792" s="4">
        <v>84</v>
      </c>
      <c r="M792" s="4">
        <v>22</v>
      </c>
      <c r="N792" s="4">
        <v>68</v>
      </c>
      <c r="O792" s="4">
        <v>22</v>
      </c>
      <c r="P792" s="4">
        <v>4.7068745245768104</v>
      </c>
      <c r="Q792" s="4">
        <v>16.321423270686999</v>
      </c>
      <c r="R792" s="4">
        <v>9</v>
      </c>
      <c r="S792" s="7" t="s">
        <v>33</v>
      </c>
      <c r="U792" s="4">
        <v>35071</v>
      </c>
      <c r="W792" s="4">
        <v>500</v>
      </c>
      <c r="X792" s="4">
        <v>20771</v>
      </c>
      <c r="Y792" s="4">
        <v>14300</v>
      </c>
      <c r="AA792" s="4">
        <v>500</v>
      </c>
      <c r="AB792" s="4">
        <v>13950</v>
      </c>
      <c r="AC792" s="4">
        <v>2041</v>
      </c>
      <c r="AE792" s="4">
        <v>3</v>
      </c>
      <c r="AF792" s="4">
        <v>15994</v>
      </c>
      <c r="AG792" s="6">
        <v>4335</v>
      </c>
      <c r="AH792" s="6">
        <v>4335</v>
      </c>
      <c r="AL792" s="4">
        <v>2088</v>
      </c>
      <c r="AM792" s="4">
        <v>21281</v>
      </c>
      <c r="AN792" s="4">
        <v>3234</v>
      </c>
      <c r="AV792" s="4">
        <v>859</v>
      </c>
      <c r="AW792" s="4">
        <v>1254</v>
      </c>
    </row>
    <row r="793" spans="1:49" x14ac:dyDescent="0.2">
      <c r="A793" s="1">
        <v>43934</v>
      </c>
      <c r="B793">
        <f t="shared" si="111"/>
        <v>107.25</v>
      </c>
      <c r="C793" s="1" t="s">
        <v>58</v>
      </c>
      <c r="D793" s="1" t="s">
        <v>61</v>
      </c>
      <c r="E793" s="1" t="s">
        <v>66</v>
      </c>
      <c r="F793" s="1" t="s">
        <v>53</v>
      </c>
      <c r="G793">
        <v>518</v>
      </c>
      <c r="H793" s="4">
        <v>0</v>
      </c>
      <c r="I793" s="4">
        <v>137</v>
      </c>
      <c r="J793" s="4">
        <v>13</v>
      </c>
      <c r="K793" s="4">
        <v>22.8</v>
      </c>
      <c r="L793" s="4">
        <v>80</v>
      </c>
      <c r="M793" s="4">
        <v>17</v>
      </c>
      <c r="N793" s="4">
        <v>57</v>
      </c>
      <c r="O793" s="4">
        <v>15</v>
      </c>
      <c r="P793" s="4">
        <v>2.4233070793117601</v>
      </c>
      <c r="Q793" s="4">
        <v>10.466981840116199</v>
      </c>
      <c r="R793" s="4">
        <v>8</v>
      </c>
      <c r="S793" s="7" t="s">
        <v>33</v>
      </c>
      <c r="U793" s="4">
        <v>32671</v>
      </c>
      <c r="W793" s="4">
        <v>500</v>
      </c>
      <c r="X793" s="4">
        <v>19471</v>
      </c>
      <c r="Y793" s="4">
        <v>13200</v>
      </c>
      <c r="AA793" s="4">
        <v>500</v>
      </c>
      <c r="AB793" s="4">
        <v>12081</v>
      </c>
      <c r="AC793" s="4">
        <v>2486</v>
      </c>
      <c r="AE793" s="4">
        <v>415</v>
      </c>
      <c r="AF793" s="4">
        <v>14982</v>
      </c>
      <c r="AG793" s="6">
        <v>4203</v>
      </c>
      <c r="AH793" s="6">
        <v>4203</v>
      </c>
      <c r="AL793" s="4">
        <v>2162</v>
      </c>
      <c r="AM793" s="4">
        <v>21308</v>
      </c>
      <c r="AN793" s="4">
        <v>3277</v>
      </c>
      <c r="AV793" s="4">
        <v>896</v>
      </c>
      <c r="AW793" s="4">
        <v>1232</v>
      </c>
    </row>
    <row r="794" spans="1:49" x14ac:dyDescent="0.2">
      <c r="A794" s="1">
        <v>43933</v>
      </c>
      <c r="B794">
        <v>74.67</v>
      </c>
      <c r="C794" s="1" t="s">
        <v>58</v>
      </c>
      <c r="D794" s="1" t="s">
        <v>61</v>
      </c>
      <c r="E794" s="1" t="s">
        <v>66</v>
      </c>
      <c r="F794" s="1" t="s">
        <v>53</v>
      </c>
      <c r="G794">
        <v>545</v>
      </c>
      <c r="H794" s="4">
        <v>0</v>
      </c>
      <c r="I794" s="4">
        <v>119</v>
      </c>
      <c r="J794" s="4">
        <v>36</v>
      </c>
      <c r="K794" s="4">
        <v>22.86</v>
      </c>
      <c r="L794" s="4">
        <v>75</v>
      </c>
      <c r="M794" s="4">
        <v>11</v>
      </c>
      <c r="N794" s="4">
        <v>40</v>
      </c>
      <c r="O794" s="4">
        <v>22</v>
      </c>
      <c r="P794" s="4">
        <v>3.5281032607580398</v>
      </c>
      <c r="Q794" s="4">
        <v>14.201006670115</v>
      </c>
      <c r="R794" s="4">
        <v>7</v>
      </c>
      <c r="S794" s="7" t="s">
        <v>33</v>
      </c>
      <c r="U794" s="4">
        <v>27447</v>
      </c>
      <c r="W794" s="4">
        <v>500</v>
      </c>
      <c r="X794" s="4">
        <v>19807</v>
      </c>
      <c r="Y794" s="4">
        <v>7640</v>
      </c>
      <c r="AA794" s="4">
        <v>500</v>
      </c>
      <c r="AB794" s="4">
        <v>12017</v>
      </c>
      <c r="AC794" s="4">
        <v>2489</v>
      </c>
      <c r="AE794" s="4">
        <v>0</v>
      </c>
      <c r="AF794" s="4">
        <v>14506</v>
      </c>
      <c r="AG794" s="6">
        <v>3507</v>
      </c>
      <c r="AH794" s="6">
        <v>3507</v>
      </c>
      <c r="AL794" s="4">
        <v>2066</v>
      </c>
      <c r="AM794" s="4">
        <v>21687</v>
      </c>
      <c r="AN794" s="4">
        <v>3301</v>
      </c>
      <c r="AV794" s="4">
        <v>958</v>
      </c>
      <c r="AW794" s="4">
        <v>1378</v>
      </c>
    </row>
    <row r="795" spans="1:49" x14ac:dyDescent="0.2">
      <c r="A795" s="1">
        <v>43932</v>
      </c>
      <c r="B795">
        <f>B794</f>
        <v>74.67</v>
      </c>
      <c r="C795" s="1" t="s">
        <v>58</v>
      </c>
      <c r="D795" s="1" t="s">
        <v>61</v>
      </c>
      <c r="E795" s="1" t="s">
        <v>66</v>
      </c>
      <c r="F795" s="1" t="s">
        <v>53</v>
      </c>
      <c r="G795">
        <v>557</v>
      </c>
      <c r="H795" s="4">
        <v>0</v>
      </c>
      <c r="I795" s="4">
        <v>123</v>
      </c>
      <c r="J795" s="4">
        <v>36</v>
      </c>
      <c r="K795" s="4">
        <v>28.58</v>
      </c>
      <c r="L795" s="4">
        <v>66</v>
      </c>
      <c r="M795" s="4">
        <v>16</v>
      </c>
      <c r="N795" s="4">
        <v>64</v>
      </c>
      <c r="O795" s="4">
        <v>23</v>
      </c>
      <c r="P795" s="4">
        <v>3.3458014024322398</v>
      </c>
      <c r="Q795" s="4">
        <v>15.9075448198515</v>
      </c>
      <c r="R795" s="4">
        <v>7</v>
      </c>
      <c r="S795" s="7" t="s">
        <v>33</v>
      </c>
      <c r="U795" s="4">
        <v>27447</v>
      </c>
      <c r="W795" s="4">
        <v>500</v>
      </c>
      <c r="X795" s="4">
        <v>19807</v>
      </c>
      <c r="Y795" s="4">
        <v>7640</v>
      </c>
      <c r="AA795" s="4">
        <v>500</v>
      </c>
      <c r="AB795" s="4">
        <v>15020</v>
      </c>
      <c r="AC795" s="4">
        <v>2630</v>
      </c>
      <c r="AE795" s="4">
        <v>350</v>
      </c>
      <c r="AF795" s="4">
        <v>18000</v>
      </c>
      <c r="AG795" s="6">
        <v>3585</v>
      </c>
      <c r="AH795" s="6">
        <v>3585</v>
      </c>
      <c r="AL795" s="4">
        <v>2163</v>
      </c>
      <c r="AM795" s="4">
        <v>21254</v>
      </c>
      <c r="AN795" s="4">
        <v>3274</v>
      </c>
      <c r="AV795" s="4">
        <v>956</v>
      </c>
      <c r="AW795" s="4">
        <v>1365</v>
      </c>
    </row>
    <row r="796" spans="1:49" x14ac:dyDescent="0.2">
      <c r="A796" s="1">
        <v>43931</v>
      </c>
      <c r="B796">
        <f t="shared" ref="B796:B800" si="112">B795</f>
        <v>74.67</v>
      </c>
      <c r="C796" s="1" t="s">
        <v>58</v>
      </c>
      <c r="D796" s="1" t="s">
        <v>61</v>
      </c>
      <c r="E796" s="1" t="s">
        <v>66</v>
      </c>
      <c r="F796" s="1" t="s">
        <v>53</v>
      </c>
      <c r="G796">
        <v>569</v>
      </c>
      <c r="H796" s="4">
        <v>0</v>
      </c>
      <c r="I796" s="4">
        <v>138</v>
      </c>
      <c r="J796" s="4">
        <v>15</v>
      </c>
      <c r="K796" s="4">
        <v>28.59</v>
      </c>
      <c r="L796" s="4">
        <v>87</v>
      </c>
      <c r="M796" s="4">
        <v>17</v>
      </c>
      <c r="N796" s="4">
        <v>65</v>
      </c>
      <c r="O796" s="4">
        <v>18</v>
      </c>
      <c r="P796" s="4">
        <v>2.64720483333394</v>
      </c>
      <c r="Q796" s="4">
        <v>11.852220879576199</v>
      </c>
      <c r="R796" s="4">
        <v>8</v>
      </c>
      <c r="S796" s="7" t="s">
        <v>33</v>
      </c>
      <c r="U796" s="4">
        <v>26057</v>
      </c>
      <c r="W796" s="4">
        <v>500</v>
      </c>
      <c r="X796" s="4">
        <v>19507</v>
      </c>
      <c r="Y796" s="4">
        <v>6550</v>
      </c>
      <c r="AA796" s="4">
        <v>500</v>
      </c>
      <c r="AB796" s="4">
        <v>15892</v>
      </c>
      <c r="AC796" s="4">
        <v>1845</v>
      </c>
      <c r="AE796" s="4">
        <v>354</v>
      </c>
      <c r="AF796" s="4">
        <v>18091</v>
      </c>
      <c r="AG796" s="6">
        <v>4327</v>
      </c>
      <c r="AH796" s="6">
        <v>4327</v>
      </c>
      <c r="AL796" s="4">
        <v>2461</v>
      </c>
      <c r="AM796" s="4">
        <v>21280</v>
      </c>
      <c r="AN796" s="4">
        <v>3228</v>
      </c>
      <c r="AV796" s="4">
        <v>944</v>
      </c>
      <c r="AW796" s="4">
        <v>1319</v>
      </c>
    </row>
    <row r="797" spans="1:49" x14ac:dyDescent="0.2">
      <c r="A797" s="1">
        <v>43930</v>
      </c>
      <c r="B797">
        <f t="shared" si="112"/>
        <v>74.67</v>
      </c>
      <c r="C797" s="1" t="s">
        <v>58</v>
      </c>
      <c r="D797" s="1" t="s">
        <v>61</v>
      </c>
      <c r="E797" s="1" t="s">
        <v>66</v>
      </c>
      <c r="F797" s="1" t="s">
        <v>53</v>
      </c>
      <c r="G797">
        <v>586</v>
      </c>
      <c r="H797" s="4">
        <v>0</v>
      </c>
      <c r="I797" s="4">
        <v>134</v>
      </c>
      <c r="J797" s="4">
        <v>22</v>
      </c>
      <c r="K797" s="4">
        <v>26.13</v>
      </c>
      <c r="L797" s="4">
        <v>90</v>
      </c>
      <c r="M797" s="4">
        <v>22</v>
      </c>
      <c r="N797" s="4">
        <v>74</v>
      </c>
      <c r="O797" s="4">
        <v>22</v>
      </c>
      <c r="P797" s="4">
        <v>4.5908355101958502</v>
      </c>
      <c r="Q797" s="4">
        <v>16.4486845986807</v>
      </c>
      <c r="R797" s="4">
        <v>8</v>
      </c>
      <c r="S797" s="7" t="s">
        <v>33</v>
      </c>
      <c r="U797" s="4">
        <v>26557</v>
      </c>
      <c r="W797" s="4">
        <v>500</v>
      </c>
      <c r="X797" s="4">
        <v>19507</v>
      </c>
      <c r="Y797" s="4">
        <v>7050</v>
      </c>
      <c r="AA797" s="4">
        <v>500</v>
      </c>
      <c r="AB797" s="4">
        <v>17188</v>
      </c>
      <c r="AC797" s="4">
        <v>1655</v>
      </c>
      <c r="AE797" s="4">
        <v>273</v>
      </c>
      <c r="AF797" s="4">
        <v>19116</v>
      </c>
      <c r="AG797" s="6">
        <v>4875</v>
      </c>
      <c r="AH797" s="6">
        <v>4875</v>
      </c>
      <c r="AL797" s="4">
        <v>2631</v>
      </c>
      <c r="AM797" s="4">
        <v>21005</v>
      </c>
      <c r="AN797" s="4">
        <v>2963</v>
      </c>
      <c r="AV797" s="4">
        <v>1003</v>
      </c>
      <c r="AW797" s="4">
        <v>1375</v>
      </c>
    </row>
    <row r="798" spans="1:49" x14ac:dyDescent="0.2">
      <c r="A798" s="1">
        <v>43929</v>
      </c>
      <c r="B798">
        <f t="shared" si="112"/>
        <v>74.67</v>
      </c>
      <c r="C798" s="1" t="s">
        <v>58</v>
      </c>
      <c r="D798" s="1" t="s">
        <v>61</v>
      </c>
      <c r="E798" s="1" t="s">
        <v>66</v>
      </c>
      <c r="F798" s="1" t="s">
        <v>53</v>
      </c>
      <c r="G798">
        <v>607</v>
      </c>
      <c r="H798" s="4">
        <v>0</v>
      </c>
      <c r="I798" s="4">
        <v>134</v>
      </c>
      <c r="J798" s="4">
        <v>22</v>
      </c>
      <c r="K798" s="4">
        <v>23.87</v>
      </c>
      <c r="L798" s="4">
        <v>81</v>
      </c>
      <c r="M798" s="4">
        <v>20</v>
      </c>
      <c r="N798" s="4">
        <v>67</v>
      </c>
      <c r="O798" s="4">
        <v>21</v>
      </c>
      <c r="P798" s="4">
        <v>4.5883719736652697</v>
      </c>
      <c r="Q798" s="4">
        <v>15.9197429933587</v>
      </c>
      <c r="R798" s="4">
        <v>8</v>
      </c>
      <c r="S798" s="7" t="s">
        <v>33</v>
      </c>
      <c r="X798" s="4">
        <v>18149</v>
      </c>
      <c r="Y798" s="4">
        <v>6320</v>
      </c>
      <c r="AB798" s="4">
        <v>15194</v>
      </c>
      <c r="AC798" s="4">
        <v>1249</v>
      </c>
      <c r="AE798" s="4">
        <v>0</v>
      </c>
      <c r="AF798" s="4">
        <v>16443</v>
      </c>
      <c r="AG798" s="6">
        <v>5146</v>
      </c>
      <c r="AH798" s="6">
        <v>5146</v>
      </c>
      <c r="AL798" s="4">
        <v>2966</v>
      </c>
      <c r="AM798" s="4">
        <v>20740</v>
      </c>
      <c r="AN798" s="4">
        <v>2967</v>
      </c>
      <c r="AV798" s="4">
        <v>1077</v>
      </c>
      <c r="AW798" s="4">
        <v>1461</v>
      </c>
    </row>
    <row r="799" spans="1:49" x14ac:dyDescent="0.2">
      <c r="A799" s="1">
        <v>43928</v>
      </c>
      <c r="B799">
        <f t="shared" si="112"/>
        <v>74.67</v>
      </c>
      <c r="C799" s="1" t="s">
        <v>58</v>
      </c>
      <c r="D799" s="1" t="s">
        <v>61</v>
      </c>
      <c r="E799" s="1" t="s">
        <v>66</v>
      </c>
      <c r="F799" s="1" t="s">
        <v>53</v>
      </c>
      <c r="G799">
        <v>642</v>
      </c>
      <c r="H799" s="4">
        <v>0</v>
      </c>
      <c r="I799" s="4">
        <v>134</v>
      </c>
      <c r="J799" s="4">
        <v>22</v>
      </c>
      <c r="K799" s="4">
        <v>24.64</v>
      </c>
      <c r="L799" s="4">
        <v>91</v>
      </c>
      <c r="M799" s="4">
        <v>21</v>
      </c>
      <c r="N799" s="4">
        <v>67</v>
      </c>
      <c r="O799" s="4">
        <v>22</v>
      </c>
      <c r="P799" s="4">
        <v>4.7459836957271699</v>
      </c>
      <c r="Q799" s="4">
        <v>16.1181737416026</v>
      </c>
      <c r="R799" s="4">
        <v>9</v>
      </c>
      <c r="S799" s="7" t="s">
        <v>33</v>
      </c>
      <c r="X799" s="4">
        <v>18149</v>
      </c>
      <c r="AB799" s="4">
        <v>13266</v>
      </c>
      <c r="AC799" s="4">
        <v>1153</v>
      </c>
      <c r="AE799" s="4">
        <v>4</v>
      </c>
      <c r="AF799" s="4">
        <v>14423</v>
      </c>
      <c r="AG799" s="6">
        <v>5477</v>
      </c>
      <c r="AH799" s="6">
        <v>5477</v>
      </c>
      <c r="AL799" s="4">
        <v>3150</v>
      </c>
      <c r="AM799" s="4">
        <v>20234</v>
      </c>
      <c r="AN799" s="4">
        <v>2864</v>
      </c>
      <c r="AV799" s="4">
        <v>998</v>
      </c>
      <c r="AW799" s="4">
        <v>1293</v>
      </c>
    </row>
    <row r="800" spans="1:49" x14ac:dyDescent="0.2">
      <c r="A800" s="1">
        <v>43927</v>
      </c>
      <c r="B800">
        <f t="shared" si="112"/>
        <v>74.67</v>
      </c>
      <c r="C800" s="1" t="s">
        <v>58</v>
      </c>
      <c r="D800" s="1" t="s">
        <v>61</v>
      </c>
      <c r="E800" s="1" t="s">
        <v>66</v>
      </c>
      <c r="F800" s="1" t="s">
        <v>53</v>
      </c>
      <c r="G800">
        <v>680</v>
      </c>
      <c r="H800" s="4">
        <v>0</v>
      </c>
      <c r="I800" s="4">
        <v>133</v>
      </c>
      <c r="J800" s="4">
        <v>23</v>
      </c>
      <c r="K800" s="4">
        <v>21.63</v>
      </c>
      <c r="L800" s="4">
        <v>76</v>
      </c>
      <c r="M800" s="4">
        <v>22</v>
      </c>
      <c r="N800" s="4">
        <v>65</v>
      </c>
      <c r="O800" s="4">
        <v>21</v>
      </c>
      <c r="P800" s="4">
        <v>5.0968566366947199</v>
      </c>
      <c r="Q800" s="4">
        <v>16.726104986009702</v>
      </c>
      <c r="R800" s="4">
        <v>9</v>
      </c>
      <c r="S800" s="7" t="s">
        <v>33</v>
      </c>
      <c r="X800" s="4">
        <v>18049</v>
      </c>
      <c r="AB800" s="4">
        <v>12858</v>
      </c>
      <c r="AC800" s="4">
        <v>826</v>
      </c>
      <c r="AE800" s="4">
        <v>91</v>
      </c>
      <c r="AF800" s="4">
        <v>13775</v>
      </c>
      <c r="AG800" s="6">
        <v>5273</v>
      </c>
      <c r="AH800" s="6">
        <v>5273</v>
      </c>
      <c r="AL800" s="4">
        <v>3047</v>
      </c>
      <c r="AM800" s="4">
        <v>19493</v>
      </c>
      <c r="AN800" s="4">
        <v>2644</v>
      </c>
      <c r="AV800" s="4">
        <v>895</v>
      </c>
      <c r="AW800" s="4">
        <v>1170</v>
      </c>
    </row>
    <row r="801" spans="1:49" x14ac:dyDescent="0.2">
      <c r="A801" s="1">
        <v>43926</v>
      </c>
      <c r="B801">
        <v>58.07</v>
      </c>
      <c r="C801" s="1" t="s">
        <v>58</v>
      </c>
      <c r="D801" s="1" t="s">
        <v>61</v>
      </c>
      <c r="E801" s="1" t="s">
        <v>66</v>
      </c>
      <c r="F801" s="1" t="s">
        <v>53</v>
      </c>
      <c r="G801">
        <v>736</v>
      </c>
      <c r="H801" s="4">
        <v>0</v>
      </c>
      <c r="I801" s="4">
        <v>118</v>
      </c>
      <c r="J801" s="4">
        <v>39</v>
      </c>
      <c r="K801" s="4">
        <v>26.06</v>
      </c>
      <c r="L801" s="4">
        <v>85</v>
      </c>
      <c r="M801" s="4">
        <v>16</v>
      </c>
      <c r="N801" s="4">
        <v>59</v>
      </c>
      <c r="O801" s="4">
        <v>24</v>
      </c>
      <c r="P801" s="4">
        <v>4.4152592805401101</v>
      </c>
      <c r="Q801" s="4">
        <v>17.794244394121701</v>
      </c>
      <c r="R801" s="4">
        <v>9</v>
      </c>
      <c r="S801" s="7" t="s">
        <v>33</v>
      </c>
      <c r="X801" s="4">
        <v>15699</v>
      </c>
      <c r="AB801" s="4">
        <v>11663</v>
      </c>
      <c r="AC801" s="4">
        <v>1070</v>
      </c>
      <c r="AE801" s="4">
        <v>505</v>
      </c>
      <c r="AF801" s="4">
        <v>13238</v>
      </c>
      <c r="AG801" s="6">
        <v>3556</v>
      </c>
      <c r="AH801" s="6">
        <v>3556</v>
      </c>
      <c r="AL801" s="4">
        <v>2913</v>
      </c>
      <c r="AM801" s="4">
        <v>18855</v>
      </c>
      <c r="AN801" s="4">
        <v>2469</v>
      </c>
      <c r="AV801" s="4">
        <v>917</v>
      </c>
      <c r="AW801" s="4">
        <v>1220</v>
      </c>
    </row>
    <row r="802" spans="1:49" x14ac:dyDescent="0.2">
      <c r="A802" s="1">
        <v>43925</v>
      </c>
      <c r="B802">
        <f>B801</f>
        <v>58.07</v>
      </c>
      <c r="C802" s="1" t="s">
        <v>58</v>
      </c>
      <c r="D802" s="1" t="s">
        <v>61</v>
      </c>
      <c r="E802" s="1" t="s">
        <v>66</v>
      </c>
      <c r="F802" s="1" t="s">
        <v>53</v>
      </c>
      <c r="G802">
        <v>801</v>
      </c>
      <c r="H802" s="4">
        <v>0</v>
      </c>
      <c r="I802" s="4">
        <v>123</v>
      </c>
      <c r="J802" s="4">
        <v>37</v>
      </c>
      <c r="K802" s="4">
        <v>28.49</v>
      </c>
      <c r="L802" s="4">
        <v>70</v>
      </c>
      <c r="M802" s="4">
        <v>16</v>
      </c>
      <c r="N802" s="4">
        <v>62</v>
      </c>
      <c r="O802" s="4">
        <v>23</v>
      </c>
      <c r="P802" s="4">
        <v>3.8049791800286399</v>
      </c>
      <c r="Q802" s="4">
        <v>17.018633799087102</v>
      </c>
      <c r="R802" s="4">
        <v>7</v>
      </c>
      <c r="S802" s="7" t="s">
        <v>33</v>
      </c>
      <c r="X802" s="4">
        <v>15699</v>
      </c>
      <c r="AB802" s="4">
        <v>15103</v>
      </c>
      <c r="AC802" s="4">
        <v>796</v>
      </c>
      <c r="AE802" s="4">
        <v>181</v>
      </c>
      <c r="AF802" s="4">
        <v>16080</v>
      </c>
      <c r="AG802" s="6">
        <v>3976</v>
      </c>
      <c r="AH802" s="6">
        <v>3976</v>
      </c>
      <c r="AL802" s="4">
        <v>2922</v>
      </c>
      <c r="AM802" s="4">
        <v>17502</v>
      </c>
      <c r="AN802" s="4">
        <v>2309</v>
      </c>
      <c r="AV802" s="4">
        <v>907</v>
      </c>
      <c r="AW802" s="4">
        <v>1147</v>
      </c>
    </row>
    <row r="803" spans="1:49" x14ac:dyDescent="0.2">
      <c r="A803" s="1">
        <v>43924</v>
      </c>
      <c r="B803">
        <f t="shared" ref="B803:B807" si="113">B802</f>
        <v>58.07</v>
      </c>
      <c r="C803" s="1" t="s">
        <v>58</v>
      </c>
      <c r="D803" s="1" t="s">
        <v>61</v>
      </c>
      <c r="E803" s="1" t="s">
        <v>66</v>
      </c>
      <c r="F803" s="1" t="s">
        <v>53</v>
      </c>
      <c r="G803">
        <v>857</v>
      </c>
      <c r="H803" s="4">
        <v>0</v>
      </c>
      <c r="I803" s="4">
        <v>136</v>
      </c>
      <c r="J803" s="4">
        <v>23</v>
      </c>
      <c r="K803" s="4">
        <v>24.34</v>
      </c>
      <c r="L803" s="4">
        <v>73</v>
      </c>
      <c r="M803" s="4">
        <v>19</v>
      </c>
      <c r="N803" s="4">
        <v>66</v>
      </c>
      <c r="O803" s="4">
        <v>21</v>
      </c>
      <c r="P803" s="4">
        <v>4.8379379858187104</v>
      </c>
      <c r="Q803" s="4">
        <v>16.9220606399902</v>
      </c>
      <c r="R803" s="4">
        <v>8</v>
      </c>
      <c r="S803" s="7" t="s">
        <v>33</v>
      </c>
      <c r="X803" s="4">
        <v>15499</v>
      </c>
      <c r="AB803" s="4">
        <v>13616</v>
      </c>
      <c r="AC803" s="4">
        <v>677</v>
      </c>
      <c r="AE803" s="4">
        <v>336</v>
      </c>
      <c r="AF803" s="4">
        <v>14629</v>
      </c>
      <c r="AG803" s="6">
        <v>4852</v>
      </c>
      <c r="AH803" s="6">
        <v>4852</v>
      </c>
      <c r="AL803" s="4">
        <v>2932</v>
      </c>
      <c r="AM803" s="4">
        <v>15546</v>
      </c>
      <c r="AN803" s="4">
        <v>2120</v>
      </c>
      <c r="AV803" s="4">
        <v>840</v>
      </c>
      <c r="AW803" s="4">
        <v>1061</v>
      </c>
    </row>
    <row r="804" spans="1:49" x14ac:dyDescent="0.2">
      <c r="A804" s="1">
        <v>43923</v>
      </c>
      <c r="B804">
        <f t="shared" si="113"/>
        <v>58.07</v>
      </c>
      <c r="C804" s="1" t="s">
        <v>58</v>
      </c>
      <c r="D804" s="1" t="s">
        <v>61</v>
      </c>
      <c r="E804" s="1" t="s">
        <v>66</v>
      </c>
      <c r="F804" s="1" t="s">
        <v>53</v>
      </c>
      <c r="G804">
        <v>952</v>
      </c>
      <c r="H804" s="4">
        <v>0</v>
      </c>
      <c r="I804" s="4">
        <v>136</v>
      </c>
      <c r="J804" s="4">
        <v>22</v>
      </c>
      <c r="K804" s="4">
        <v>22.76</v>
      </c>
      <c r="L804" s="4">
        <v>72</v>
      </c>
      <c r="M804" s="4">
        <v>19</v>
      </c>
      <c r="N804" s="4">
        <v>64</v>
      </c>
      <c r="O804" s="4">
        <v>20</v>
      </c>
      <c r="P804" s="4">
        <v>4.78286799056474</v>
      </c>
      <c r="Q804" s="4">
        <v>16.208121250734699</v>
      </c>
      <c r="R804" s="4">
        <v>9</v>
      </c>
      <c r="S804" s="7" t="s">
        <v>33</v>
      </c>
      <c r="X804" s="4">
        <v>15499</v>
      </c>
      <c r="AB804" s="4">
        <v>12854</v>
      </c>
      <c r="AC804" s="4">
        <v>603</v>
      </c>
      <c r="AE804" s="4">
        <v>166</v>
      </c>
      <c r="AF804" s="4">
        <v>13623</v>
      </c>
      <c r="AG804" s="6">
        <v>4824</v>
      </c>
      <c r="AH804" s="6">
        <v>4824</v>
      </c>
      <c r="AL804" s="4">
        <v>3284</v>
      </c>
      <c r="AM804" s="4">
        <v>13875</v>
      </c>
      <c r="AN804" s="4">
        <v>1813</v>
      </c>
      <c r="AV804" s="4">
        <v>806</v>
      </c>
      <c r="AW804" s="4">
        <v>1007</v>
      </c>
    </row>
    <row r="805" spans="1:49" x14ac:dyDescent="0.2">
      <c r="A805" s="1">
        <v>43922</v>
      </c>
      <c r="B805">
        <f t="shared" si="113"/>
        <v>58.07</v>
      </c>
      <c r="C805" s="1" t="s">
        <v>58</v>
      </c>
      <c r="D805" s="1" t="s">
        <v>61</v>
      </c>
      <c r="E805" s="1" t="s">
        <v>66</v>
      </c>
      <c r="F805" s="1" t="s">
        <v>53</v>
      </c>
      <c r="G805">
        <v>1096</v>
      </c>
      <c r="H805" s="4">
        <v>0</v>
      </c>
      <c r="I805" s="4">
        <v>135</v>
      </c>
      <c r="J805" s="4">
        <v>22</v>
      </c>
      <c r="K805" s="4">
        <v>22.19</v>
      </c>
      <c r="L805" s="4">
        <v>68</v>
      </c>
      <c r="M805" s="4">
        <v>19</v>
      </c>
      <c r="N805" s="4">
        <v>64</v>
      </c>
      <c r="O805" s="4">
        <v>20</v>
      </c>
      <c r="P805" s="4">
        <v>4.9400599300005004</v>
      </c>
      <c r="Q805" s="4">
        <v>16.524456789519</v>
      </c>
      <c r="R805" s="4">
        <v>9</v>
      </c>
      <c r="S805" s="7" t="s">
        <v>33</v>
      </c>
      <c r="X805" s="4">
        <v>15499</v>
      </c>
      <c r="AB805" s="4">
        <v>11256</v>
      </c>
      <c r="AC805" s="4">
        <v>668</v>
      </c>
      <c r="AE805" s="4">
        <v>23</v>
      </c>
      <c r="AF805" s="4">
        <v>11947</v>
      </c>
      <c r="AG805" s="6">
        <v>4891</v>
      </c>
      <c r="AH805" s="6">
        <v>4891</v>
      </c>
      <c r="AL805" s="4">
        <v>3565</v>
      </c>
      <c r="AM805" s="4">
        <v>13637</v>
      </c>
      <c r="AV805" s="4">
        <v>769</v>
      </c>
      <c r="AW805" s="4">
        <v>924</v>
      </c>
    </row>
    <row r="806" spans="1:49" x14ac:dyDescent="0.2">
      <c r="A806" s="1">
        <v>43921</v>
      </c>
      <c r="B806">
        <f t="shared" si="113"/>
        <v>58.07</v>
      </c>
      <c r="C806" s="1" t="s">
        <v>58</v>
      </c>
      <c r="D806" s="1" t="s">
        <v>61</v>
      </c>
      <c r="E806" s="1" t="s">
        <v>66</v>
      </c>
      <c r="F806" s="1" t="s">
        <v>53</v>
      </c>
      <c r="G806">
        <v>1267</v>
      </c>
      <c r="H806" s="4">
        <v>0</v>
      </c>
      <c r="I806" s="4">
        <v>134</v>
      </c>
      <c r="J806" s="4">
        <v>22</v>
      </c>
      <c r="K806" s="4">
        <v>22.29</v>
      </c>
      <c r="L806" s="4">
        <v>70</v>
      </c>
      <c r="M806" s="4">
        <v>21</v>
      </c>
      <c r="N806" s="4">
        <v>65</v>
      </c>
      <c r="O806" s="4">
        <v>21</v>
      </c>
      <c r="P806" s="4">
        <v>5.1217102020362901</v>
      </c>
      <c r="Q806" s="4">
        <v>17.038242424619401</v>
      </c>
      <c r="R806" s="4">
        <v>10</v>
      </c>
      <c r="S806" s="7" t="s">
        <v>33</v>
      </c>
      <c r="X806" s="4">
        <v>15499</v>
      </c>
      <c r="AB806" s="4">
        <v>11267</v>
      </c>
      <c r="AC806" s="4">
        <v>629</v>
      </c>
      <c r="AF806" s="4">
        <v>11896</v>
      </c>
      <c r="AG806" s="6">
        <v>4463</v>
      </c>
      <c r="AH806" s="6">
        <v>4463</v>
      </c>
      <c r="AL806" s="4">
        <v>2834</v>
      </c>
      <c r="AM806" s="4">
        <v>12597</v>
      </c>
      <c r="AV806" s="4">
        <v>662</v>
      </c>
      <c r="AW806" s="4">
        <v>831</v>
      </c>
    </row>
    <row r="807" spans="1:49" x14ac:dyDescent="0.2">
      <c r="A807" s="1">
        <v>43920</v>
      </c>
      <c r="B807">
        <f t="shared" si="113"/>
        <v>58.07</v>
      </c>
      <c r="C807" s="1" t="s">
        <v>58</v>
      </c>
      <c r="D807" s="1" t="s">
        <v>61</v>
      </c>
      <c r="E807" s="1" t="s">
        <v>66</v>
      </c>
      <c r="F807" s="1" t="s">
        <v>53</v>
      </c>
      <c r="G807">
        <v>1438</v>
      </c>
      <c r="H807" s="4">
        <v>0</v>
      </c>
      <c r="I807" s="4">
        <v>133</v>
      </c>
      <c r="J807" s="4">
        <v>23</v>
      </c>
      <c r="K807" s="4">
        <v>19.72</v>
      </c>
      <c r="L807" s="4">
        <v>59</v>
      </c>
      <c r="M807" s="4">
        <v>21</v>
      </c>
      <c r="N807" s="4">
        <v>64</v>
      </c>
      <c r="O807" s="4">
        <v>21</v>
      </c>
      <c r="P807" s="4">
        <v>5.4611910318513601</v>
      </c>
      <c r="Q807" s="4">
        <v>17.290471460164699</v>
      </c>
      <c r="R807" s="4">
        <v>10</v>
      </c>
      <c r="S807" s="7" t="s">
        <v>33</v>
      </c>
      <c r="X807" s="4">
        <v>12799</v>
      </c>
      <c r="AG807" s="6">
        <v>4195</v>
      </c>
      <c r="AH807" s="6">
        <v>4195</v>
      </c>
      <c r="AL807" s="4">
        <v>3189</v>
      </c>
      <c r="AM807" s="4">
        <v>11093</v>
      </c>
      <c r="AV807" s="4">
        <v>590</v>
      </c>
      <c r="AW807" s="4">
        <v>711</v>
      </c>
    </row>
    <row r="808" spans="1:49" x14ac:dyDescent="0.2">
      <c r="A808" s="1">
        <v>43919</v>
      </c>
      <c r="B808">
        <v>7.7</v>
      </c>
      <c r="C808" s="1" t="s">
        <v>58</v>
      </c>
      <c r="D808" s="1" t="s">
        <v>61</v>
      </c>
      <c r="E808" s="1" t="s">
        <v>66</v>
      </c>
      <c r="F808" s="1" t="s">
        <v>53</v>
      </c>
      <c r="G808">
        <v>1754</v>
      </c>
      <c r="H808" s="4">
        <v>0</v>
      </c>
      <c r="I808" s="4">
        <v>119</v>
      </c>
      <c r="J808" s="4">
        <v>38</v>
      </c>
      <c r="K808" s="4">
        <v>17.829999999999998</v>
      </c>
      <c r="L808" s="4">
        <v>41</v>
      </c>
      <c r="M808" s="4">
        <v>13</v>
      </c>
      <c r="N808" s="4">
        <v>52</v>
      </c>
      <c r="O808" s="4">
        <v>20</v>
      </c>
      <c r="P808" s="4">
        <v>4.6014241447948896</v>
      </c>
      <c r="Q808" s="4">
        <v>17.234018378298199</v>
      </c>
      <c r="R808" s="4">
        <v>8</v>
      </c>
      <c r="S808" s="7" t="s">
        <v>33</v>
      </c>
      <c r="X808" s="4">
        <v>12799</v>
      </c>
      <c r="AG808" s="6">
        <v>2818</v>
      </c>
      <c r="AH808" s="6">
        <v>2818</v>
      </c>
      <c r="AL808" s="4">
        <v>2492</v>
      </c>
      <c r="AM808" s="4">
        <v>9525</v>
      </c>
      <c r="AV808" s="4">
        <v>506</v>
      </c>
      <c r="AW808" s="4">
        <v>586</v>
      </c>
    </row>
    <row r="809" spans="1:49" x14ac:dyDescent="0.2">
      <c r="A809" s="1">
        <v>43918</v>
      </c>
      <c r="B809">
        <f>B808</f>
        <v>7.7</v>
      </c>
      <c r="C809" s="1" t="s">
        <v>58</v>
      </c>
      <c r="D809" s="1" t="s">
        <v>61</v>
      </c>
      <c r="E809" s="1" t="s">
        <v>66</v>
      </c>
      <c r="F809" s="1" t="s">
        <v>53</v>
      </c>
      <c r="G809">
        <v>2065</v>
      </c>
      <c r="H809" s="4">
        <v>0</v>
      </c>
      <c r="I809" s="4">
        <v>123</v>
      </c>
      <c r="J809" s="4">
        <v>37</v>
      </c>
      <c r="K809" s="4">
        <v>23.4</v>
      </c>
      <c r="L809" s="4">
        <v>43</v>
      </c>
      <c r="M809" s="4">
        <v>15</v>
      </c>
      <c r="N809" s="4">
        <v>59</v>
      </c>
      <c r="O809" s="4">
        <v>22</v>
      </c>
      <c r="P809" s="4">
        <v>4.2400313083568104</v>
      </c>
      <c r="Q809" s="4">
        <v>17.745361522317499</v>
      </c>
      <c r="R809" s="4">
        <v>8</v>
      </c>
      <c r="S809" s="7" t="s">
        <v>33</v>
      </c>
      <c r="X809" s="4">
        <v>10949</v>
      </c>
      <c r="AG809" s="6">
        <v>2774</v>
      </c>
      <c r="AH809" s="6">
        <v>2774</v>
      </c>
      <c r="AL809" s="4">
        <v>2196</v>
      </c>
      <c r="AM809" s="4">
        <v>8278</v>
      </c>
      <c r="AV809" s="4">
        <v>436</v>
      </c>
      <c r="AW809" s="4">
        <v>516</v>
      </c>
    </row>
    <row r="810" spans="1:49" x14ac:dyDescent="0.2">
      <c r="A810" s="1">
        <v>43917</v>
      </c>
      <c r="B810">
        <f t="shared" ref="B810:B814" si="114">B809</f>
        <v>7.7</v>
      </c>
      <c r="C810" s="1" t="s">
        <v>58</v>
      </c>
      <c r="D810" s="1" t="s">
        <v>61</v>
      </c>
      <c r="E810" s="1" t="s">
        <v>66</v>
      </c>
      <c r="F810" s="1" t="s">
        <v>53</v>
      </c>
      <c r="G810">
        <v>2377</v>
      </c>
      <c r="H810" s="4">
        <v>0</v>
      </c>
      <c r="I810" s="4">
        <v>135</v>
      </c>
      <c r="J810" s="4">
        <v>25</v>
      </c>
      <c r="K810" s="4">
        <v>23.4</v>
      </c>
      <c r="L810" s="4">
        <v>70</v>
      </c>
      <c r="M810" s="4">
        <v>19</v>
      </c>
      <c r="N810" s="4">
        <v>68</v>
      </c>
      <c r="O810" s="4">
        <v>23</v>
      </c>
      <c r="P810" s="4">
        <v>5.8369433806420696</v>
      </c>
      <c r="Q810" s="4">
        <v>18.5603475078066</v>
      </c>
      <c r="R810" s="4">
        <v>9</v>
      </c>
      <c r="S810" s="7" t="s">
        <v>33</v>
      </c>
      <c r="X810" s="4">
        <v>10949</v>
      </c>
      <c r="AG810" s="6">
        <v>3154</v>
      </c>
      <c r="AH810" s="6">
        <v>3154</v>
      </c>
      <c r="AL810" s="4">
        <v>2229</v>
      </c>
      <c r="AM810" s="4">
        <v>7267</v>
      </c>
      <c r="AV810" s="4">
        <v>398</v>
      </c>
      <c r="AW810" s="4">
        <v>463</v>
      </c>
    </row>
    <row r="811" spans="1:49" x14ac:dyDescent="0.2">
      <c r="A811" s="1">
        <v>43916</v>
      </c>
      <c r="B811">
        <f t="shared" si="114"/>
        <v>7.7</v>
      </c>
      <c r="C811" s="1" t="s">
        <v>58</v>
      </c>
      <c r="D811" s="1" t="s">
        <v>61</v>
      </c>
      <c r="E811" s="1" t="s">
        <v>66</v>
      </c>
      <c r="F811" s="1" t="s">
        <v>53</v>
      </c>
      <c r="G811">
        <v>2696</v>
      </c>
      <c r="H811" s="4">
        <v>0</v>
      </c>
      <c r="I811" s="4">
        <v>134</v>
      </c>
      <c r="J811" s="4">
        <v>25</v>
      </c>
      <c r="K811" s="4">
        <v>22.89</v>
      </c>
      <c r="L811" s="4">
        <v>80</v>
      </c>
      <c r="M811" s="4">
        <v>20</v>
      </c>
      <c r="N811" s="4">
        <v>68</v>
      </c>
      <c r="O811" s="4">
        <v>23</v>
      </c>
      <c r="P811" s="4">
        <v>6.1328829651025796</v>
      </c>
      <c r="Q811" s="4">
        <v>18.4228553344301</v>
      </c>
      <c r="R811" s="4">
        <v>10</v>
      </c>
      <c r="S811" s="7" t="s">
        <v>33</v>
      </c>
      <c r="X811" s="4">
        <v>10949</v>
      </c>
      <c r="AG811" s="6">
        <v>3039</v>
      </c>
      <c r="AH811" s="6">
        <v>3039</v>
      </c>
      <c r="AL811" s="4">
        <v>1931</v>
      </c>
      <c r="AV811" s="4">
        <v>363</v>
      </c>
      <c r="AW811" s="4">
        <v>413</v>
      </c>
    </row>
    <row r="812" spans="1:49" x14ac:dyDescent="0.2">
      <c r="A812" s="1">
        <v>43915</v>
      </c>
      <c r="B812">
        <f t="shared" si="114"/>
        <v>7.7</v>
      </c>
      <c r="C812" s="1" t="s">
        <v>58</v>
      </c>
      <c r="D812" s="1" t="s">
        <v>61</v>
      </c>
      <c r="E812" s="1" t="s">
        <v>69</v>
      </c>
      <c r="F812" s="1" t="s">
        <v>53</v>
      </c>
      <c r="G812">
        <v>3099</v>
      </c>
      <c r="H812" s="4">
        <v>0</v>
      </c>
      <c r="I812" s="4">
        <v>133</v>
      </c>
      <c r="J812" s="4">
        <v>27</v>
      </c>
      <c r="K812" s="4">
        <v>24.09</v>
      </c>
      <c r="L812" s="4">
        <v>83</v>
      </c>
      <c r="M812" s="4">
        <v>21</v>
      </c>
      <c r="N812" s="4">
        <v>72</v>
      </c>
      <c r="O812" s="4">
        <v>24</v>
      </c>
      <c r="P812" s="4">
        <v>6.8873913203475796</v>
      </c>
      <c r="Q812" s="4">
        <v>19.4153676646687</v>
      </c>
      <c r="R812" s="4">
        <v>12</v>
      </c>
      <c r="S812" s="7" t="s">
        <v>33</v>
      </c>
      <c r="X812" s="4">
        <v>10949</v>
      </c>
      <c r="AG812" s="6">
        <v>2666</v>
      </c>
      <c r="AH812" s="6">
        <v>2666</v>
      </c>
      <c r="AL812" s="4">
        <v>2087</v>
      </c>
      <c r="AV812" s="4">
        <v>303</v>
      </c>
      <c r="AW812" s="4">
        <v>337</v>
      </c>
    </row>
    <row r="813" spans="1:49" x14ac:dyDescent="0.2">
      <c r="A813" s="1">
        <v>43914</v>
      </c>
      <c r="B813">
        <f t="shared" si="114"/>
        <v>7.7</v>
      </c>
      <c r="C813" s="1" t="s">
        <v>58</v>
      </c>
      <c r="D813" s="1" t="s">
        <v>61</v>
      </c>
      <c r="E813" s="1" t="s">
        <v>69</v>
      </c>
      <c r="F813" s="1" t="s">
        <v>53</v>
      </c>
      <c r="G813">
        <v>3463</v>
      </c>
      <c r="H813" s="4">
        <v>0</v>
      </c>
      <c r="I813" s="4">
        <v>131</v>
      </c>
      <c r="J813" s="4">
        <v>30</v>
      </c>
      <c r="K813" s="4">
        <v>24.63</v>
      </c>
      <c r="L813" s="4">
        <v>81</v>
      </c>
      <c r="M813" s="4">
        <v>24</v>
      </c>
      <c r="N813" s="4">
        <v>75</v>
      </c>
      <c r="O813" s="4">
        <v>28</v>
      </c>
      <c r="P813" s="4">
        <v>9.2286455658640794</v>
      </c>
      <c r="Q813" s="4">
        <v>22.2224483296567</v>
      </c>
      <c r="R813" s="4">
        <v>15</v>
      </c>
      <c r="S813" s="7" t="s">
        <v>33</v>
      </c>
      <c r="X813" s="4">
        <v>10949</v>
      </c>
      <c r="AG813" s="6">
        <v>2354</v>
      </c>
      <c r="AH813" s="6">
        <v>2354</v>
      </c>
      <c r="AL813" s="4">
        <v>1718</v>
      </c>
      <c r="AV813" s="4">
        <v>237</v>
      </c>
      <c r="AW813" s="4">
        <v>263</v>
      </c>
    </row>
    <row r="814" spans="1:49" x14ac:dyDescent="0.2">
      <c r="A814" s="1">
        <v>43913</v>
      </c>
      <c r="B814">
        <f t="shared" si="114"/>
        <v>7.7</v>
      </c>
      <c r="C814" s="1" t="s">
        <v>58</v>
      </c>
      <c r="D814" s="1" t="s">
        <v>61</v>
      </c>
      <c r="E814" s="1" t="s">
        <v>69</v>
      </c>
      <c r="F814" s="1" t="s">
        <v>53</v>
      </c>
      <c r="G814">
        <v>3772</v>
      </c>
      <c r="H814" s="4">
        <v>0</v>
      </c>
      <c r="I814" s="4">
        <v>125</v>
      </c>
      <c r="J814" s="4">
        <v>40</v>
      </c>
      <c r="K814" s="4">
        <v>31.25</v>
      </c>
      <c r="L814" s="4">
        <v>95</v>
      </c>
      <c r="M814" s="4">
        <v>41</v>
      </c>
      <c r="N814" s="4">
        <v>87</v>
      </c>
      <c r="O814" s="4">
        <v>37</v>
      </c>
      <c r="P814" s="4">
        <v>15.2560410589433</v>
      </c>
      <c r="Q814" s="4">
        <v>32.298746981767799</v>
      </c>
      <c r="R814" s="4">
        <v>25</v>
      </c>
      <c r="S814" s="7" t="s">
        <v>33</v>
      </c>
      <c r="X814" s="4">
        <v>10949</v>
      </c>
      <c r="AG814" s="6">
        <v>2290</v>
      </c>
      <c r="AH814" s="6">
        <v>2290</v>
      </c>
      <c r="AL814" s="4">
        <v>1273</v>
      </c>
      <c r="AV814" s="4">
        <v>186</v>
      </c>
      <c r="AW814" s="4">
        <v>208</v>
      </c>
    </row>
    <row r="815" spans="1:49" x14ac:dyDescent="0.2">
      <c r="A815" s="1">
        <v>43912</v>
      </c>
      <c r="B815">
        <v>0.36</v>
      </c>
      <c r="C815" s="1" t="s">
        <v>58</v>
      </c>
      <c r="D815" s="1" t="s">
        <v>61</v>
      </c>
      <c r="E815" s="1" t="s">
        <v>69</v>
      </c>
      <c r="F815" s="1" t="s">
        <v>53</v>
      </c>
      <c r="G815">
        <v>4043</v>
      </c>
      <c r="H815" s="4">
        <v>0</v>
      </c>
      <c r="I815" s="4">
        <v>113</v>
      </c>
      <c r="J815" s="4">
        <v>60</v>
      </c>
      <c r="K815" s="4">
        <v>30.76</v>
      </c>
      <c r="L815" s="4">
        <v>94</v>
      </c>
      <c r="M815" s="4">
        <v>33</v>
      </c>
      <c r="N815" s="4">
        <v>80</v>
      </c>
      <c r="O815" s="4">
        <v>39</v>
      </c>
      <c r="P815" s="4">
        <v>13.1836681646864</v>
      </c>
      <c r="Q815" s="4">
        <v>36.211658672480901</v>
      </c>
      <c r="R815" s="4">
        <v>23</v>
      </c>
      <c r="S815" s="7" t="s">
        <v>33</v>
      </c>
      <c r="X815" s="4">
        <v>10949</v>
      </c>
      <c r="AG815" s="6">
        <v>1363</v>
      </c>
      <c r="AH815" s="6">
        <v>1363</v>
      </c>
      <c r="AV815" s="4">
        <v>164</v>
      </c>
      <c r="AW815" s="4">
        <v>183</v>
      </c>
    </row>
    <row r="816" spans="1:49" x14ac:dyDescent="0.2">
      <c r="A816" s="1">
        <v>43911</v>
      </c>
      <c r="B816">
        <f>B815</f>
        <v>0.36</v>
      </c>
      <c r="C816" s="1" t="s">
        <v>58</v>
      </c>
      <c r="D816" s="1" t="s">
        <v>61</v>
      </c>
      <c r="E816" s="1" t="s">
        <v>69</v>
      </c>
      <c r="F816" s="1" t="s">
        <v>53</v>
      </c>
      <c r="G816">
        <v>4275</v>
      </c>
      <c r="H816" s="4">
        <v>0</v>
      </c>
      <c r="I816" s="4">
        <v>115</v>
      </c>
      <c r="J816" s="4">
        <v>66</v>
      </c>
      <c r="K816" s="4">
        <v>37.36</v>
      </c>
      <c r="L816" s="4">
        <v>77</v>
      </c>
      <c r="M816" s="4">
        <v>38</v>
      </c>
      <c r="N816" s="4">
        <v>92</v>
      </c>
      <c r="O816" s="4">
        <v>42</v>
      </c>
      <c r="P816" s="4">
        <v>14.6640301433148</v>
      </c>
      <c r="Q816" s="4">
        <v>40.943765592180704</v>
      </c>
      <c r="R816" s="4">
        <v>23</v>
      </c>
      <c r="S816" s="7" t="s">
        <v>33</v>
      </c>
      <c r="X816" s="4">
        <v>6127</v>
      </c>
      <c r="AG816" s="6">
        <v>1181</v>
      </c>
      <c r="AH816" s="6">
        <v>1181</v>
      </c>
      <c r="AV816" s="4">
        <v>130</v>
      </c>
      <c r="AW816" s="4">
        <v>144</v>
      </c>
    </row>
    <row r="817" spans="1:49" x14ac:dyDescent="0.2">
      <c r="A817" s="1">
        <v>43910</v>
      </c>
      <c r="B817">
        <f t="shared" ref="B817:B821" si="115">B816</f>
        <v>0.36</v>
      </c>
      <c r="C817" s="1" t="s">
        <v>58</v>
      </c>
      <c r="D817" s="1" t="s">
        <v>61</v>
      </c>
      <c r="E817" s="1" t="s">
        <v>69</v>
      </c>
      <c r="F817" s="1" t="s">
        <v>53</v>
      </c>
      <c r="G817">
        <v>4428</v>
      </c>
      <c r="H817" s="4">
        <v>0</v>
      </c>
      <c r="I817" s="4">
        <v>120</v>
      </c>
      <c r="J817" s="4">
        <v>56</v>
      </c>
      <c r="K817" s="4">
        <v>37.49</v>
      </c>
      <c r="L817" s="4">
        <v>78</v>
      </c>
      <c r="M817" s="4">
        <v>54</v>
      </c>
      <c r="N817" s="4">
        <v>108</v>
      </c>
      <c r="O817" s="4">
        <v>49</v>
      </c>
      <c r="P817" s="4">
        <v>24.197627107406301</v>
      </c>
      <c r="Q817" s="4">
        <v>53.091977071176501</v>
      </c>
      <c r="R817" s="4">
        <v>31</v>
      </c>
      <c r="S817" s="7" t="s">
        <v>33</v>
      </c>
      <c r="X817" s="4">
        <v>6127</v>
      </c>
      <c r="AG817" s="6">
        <v>1252</v>
      </c>
      <c r="AH817" s="6">
        <v>1252</v>
      </c>
      <c r="AV817" s="4">
        <v>109</v>
      </c>
      <c r="AW817" s="4">
        <v>118</v>
      </c>
    </row>
    <row r="818" spans="1:49" x14ac:dyDescent="0.2">
      <c r="A818" s="1">
        <v>43909</v>
      </c>
      <c r="B818">
        <f t="shared" si="115"/>
        <v>0.36</v>
      </c>
      <c r="C818" s="1" t="s">
        <v>57</v>
      </c>
      <c r="D818" s="1" t="s">
        <v>61</v>
      </c>
      <c r="E818" s="1" t="s">
        <v>69</v>
      </c>
      <c r="F818" s="1" t="s">
        <v>53</v>
      </c>
      <c r="G818">
        <v>4556</v>
      </c>
      <c r="H818" s="4">
        <v>0</v>
      </c>
      <c r="I818" s="4">
        <v>118</v>
      </c>
      <c r="J818" s="4">
        <v>59</v>
      </c>
      <c r="K818" s="4">
        <v>38.76</v>
      </c>
      <c r="L818" s="4">
        <v>72</v>
      </c>
      <c r="M818" s="4">
        <v>64</v>
      </c>
      <c r="N818" s="4">
        <v>130</v>
      </c>
      <c r="O818" s="4">
        <v>53</v>
      </c>
      <c r="P818" s="4">
        <v>29.469866247440098</v>
      </c>
      <c r="Q818" s="4">
        <v>59.546440479410101</v>
      </c>
      <c r="R818" s="4">
        <v>39</v>
      </c>
      <c r="S818" s="7" t="s">
        <v>33</v>
      </c>
      <c r="AG818" s="6">
        <v>1042</v>
      </c>
      <c r="AH818" s="6">
        <v>1042</v>
      </c>
      <c r="AV818" s="4">
        <v>73</v>
      </c>
      <c r="AW818" s="4">
        <v>79</v>
      </c>
    </row>
    <row r="819" spans="1:49" x14ac:dyDescent="0.2">
      <c r="A819" s="1">
        <v>43908</v>
      </c>
      <c r="B819">
        <f t="shared" si="115"/>
        <v>0.36</v>
      </c>
      <c r="C819" s="1" t="s">
        <v>57</v>
      </c>
      <c r="D819" s="1" t="s">
        <v>61</v>
      </c>
      <c r="E819" s="1" t="s">
        <v>69</v>
      </c>
      <c r="F819" s="1" t="s">
        <v>53</v>
      </c>
      <c r="G819">
        <v>4654</v>
      </c>
      <c r="H819" s="4">
        <v>0</v>
      </c>
      <c r="I819" s="4">
        <v>116</v>
      </c>
      <c r="J819" s="4">
        <v>64</v>
      </c>
      <c r="K819" s="4">
        <v>43.31</v>
      </c>
      <c r="L819" s="4">
        <v>93</v>
      </c>
      <c r="M819" s="4">
        <v>67</v>
      </c>
      <c r="N819" s="4">
        <v>128</v>
      </c>
      <c r="O819" s="4">
        <v>57</v>
      </c>
      <c r="P819" s="4">
        <v>35.090876014128298</v>
      </c>
      <c r="Q819" s="4">
        <v>64.267886113819401</v>
      </c>
      <c r="R819" s="4">
        <v>36</v>
      </c>
      <c r="S819" s="7" t="s">
        <v>33</v>
      </c>
      <c r="AG819" s="6">
        <v>981</v>
      </c>
      <c r="AH819" s="6">
        <v>981</v>
      </c>
      <c r="AV819" s="4">
        <v>68</v>
      </c>
      <c r="AW819" s="4">
        <v>73</v>
      </c>
    </row>
    <row r="820" spans="1:49" x14ac:dyDescent="0.2">
      <c r="A820" s="1">
        <v>43907</v>
      </c>
      <c r="B820">
        <f t="shared" si="115"/>
        <v>0.36</v>
      </c>
      <c r="C820" s="1" t="s">
        <v>57</v>
      </c>
      <c r="D820" s="1" t="s">
        <v>61</v>
      </c>
      <c r="E820" s="1" t="s">
        <v>69</v>
      </c>
      <c r="F820" s="1" t="s">
        <v>53</v>
      </c>
      <c r="G820">
        <v>4726</v>
      </c>
      <c r="H820" s="4">
        <v>11</v>
      </c>
      <c r="I820" s="4">
        <v>112</v>
      </c>
      <c r="J820" s="4">
        <v>71</v>
      </c>
      <c r="K820" s="4">
        <v>48.95</v>
      </c>
      <c r="L820" s="4">
        <v>92</v>
      </c>
      <c r="M820" s="4">
        <v>72</v>
      </c>
      <c r="N820" s="4">
        <v>119</v>
      </c>
      <c r="O820" s="4">
        <v>63</v>
      </c>
      <c r="P820" s="4">
        <v>43.816244577269799</v>
      </c>
      <c r="Q820" s="4">
        <v>71.608623629533199</v>
      </c>
      <c r="R820" s="4">
        <v>44</v>
      </c>
      <c r="S820" s="7" t="s">
        <v>33</v>
      </c>
      <c r="AG820" s="6">
        <v>783</v>
      </c>
      <c r="AH820" s="6">
        <v>783</v>
      </c>
      <c r="AV820" s="4">
        <v>53</v>
      </c>
      <c r="AW820" s="4">
        <v>58</v>
      </c>
    </row>
    <row r="821" spans="1:49" x14ac:dyDescent="0.2">
      <c r="A821" s="1">
        <v>43906</v>
      </c>
      <c r="B821">
        <f t="shared" si="115"/>
        <v>0.36</v>
      </c>
      <c r="C821" s="1" t="s">
        <v>57</v>
      </c>
      <c r="D821" s="1" t="s">
        <v>61</v>
      </c>
      <c r="E821" s="1" t="s">
        <v>69</v>
      </c>
      <c r="F821" s="1" t="s">
        <v>53</v>
      </c>
      <c r="G821">
        <v>4762</v>
      </c>
      <c r="H821" s="4">
        <v>39</v>
      </c>
      <c r="I821" s="4">
        <v>107</v>
      </c>
      <c r="J821" s="4">
        <v>82</v>
      </c>
      <c r="K821" s="4">
        <v>64.53</v>
      </c>
      <c r="L821" s="4">
        <v>126</v>
      </c>
      <c r="M821" s="4">
        <v>86</v>
      </c>
      <c r="N821" s="4">
        <v>123</v>
      </c>
      <c r="O821" s="4">
        <v>75</v>
      </c>
      <c r="P821" s="4">
        <v>60.26612758345</v>
      </c>
      <c r="Q821" s="4">
        <v>81.243201078498998</v>
      </c>
      <c r="R821" s="4">
        <v>60</v>
      </c>
      <c r="S821" s="7" t="s">
        <v>33</v>
      </c>
      <c r="AG821" s="6">
        <v>602</v>
      </c>
      <c r="AH821" s="6">
        <v>602</v>
      </c>
      <c r="AV821" s="4">
        <v>47</v>
      </c>
      <c r="AW821" s="4">
        <v>51</v>
      </c>
    </row>
    <row r="822" spans="1:49" x14ac:dyDescent="0.2">
      <c r="A822" s="1">
        <v>43905</v>
      </c>
      <c r="B822">
        <v>-1.66</v>
      </c>
      <c r="C822" s="1" t="s">
        <v>57</v>
      </c>
      <c r="D822" s="1" t="s">
        <v>61</v>
      </c>
      <c r="E822" s="1" t="s">
        <v>69</v>
      </c>
      <c r="F822" s="1" t="s">
        <v>53</v>
      </c>
      <c r="G822">
        <v>4783</v>
      </c>
      <c r="H822" s="4">
        <v>57</v>
      </c>
      <c r="I822" s="4">
        <v>104</v>
      </c>
      <c r="J822" s="4">
        <v>93</v>
      </c>
      <c r="K822" s="4">
        <v>64.28</v>
      </c>
      <c r="L822" s="4">
        <v>79</v>
      </c>
      <c r="M822" s="4">
        <v>76</v>
      </c>
      <c r="N822" s="4">
        <v>106</v>
      </c>
      <c r="O822" s="4">
        <v>76</v>
      </c>
      <c r="P822" s="4">
        <v>61.024864391591898</v>
      </c>
      <c r="Q822" s="4">
        <v>81.6555964511236</v>
      </c>
      <c r="R822" s="4">
        <v>67</v>
      </c>
      <c r="S822" s="7" t="s">
        <v>33</v>
      </c>
      <c r="AG822" s="6">
        <v>441</v>
      </c>
      <c r="AH822" s="6">
        <v>441</v>
      </c>
      <c r="AV822" s="4">
        <v>32</v>
      </c>
      <c r="AW822" s="4">
        <v>31</v>
      </c>
    </row>
    <row r="823" spans="1:49" x14ac:dyDescent="0.2">
      <c r="A823" s="1">
        <v>43904</v>
      </c>
      <c r="B823">
        <f>B822</f>
        <v>-1.66</v>
      </c>
      <c r="C823" s="1" t="s">
        <v>57</v>
      </c>
      <c r="D823" s="1" t="s">
        <v>61</v>
      </c>
      <c r="E823" s="1" t="s">
        <v>69</v>
      </c>
      <c r="F823" s="1" t="s">
        <v>53</v>
      </c>
      <c r="G823">
        <v>4796</v>
      </c>
      <c r="H823" s="4">
        <v>69</v>
      </c>
      <c r="I823" s="4">
        <v>104</v>
      </c>
      <c r="J823" s="4">
        <v>96</v>
      </c>
      <c r="K823" s="4">
        <v>117.44</v>
      </c>
      <c r="L823" s="4">
        <v>83</v>
      </c>
      <c r="M823" s="4">
        <v>80</v>
      </c>
      <c r="N823" s="4">
        <v>109</v>
      </c>
      <c r="O823" s="4">
        <v>78</v>
      </c>
      <c r="P823" s="4">
        <v>61.006171887518498</v>
      </c>
      <c r="Q823" s="4">
        <v>82.992190646088005</v>
      </c>
      <c r="R823" s="4">
        <v>75</v>
      </c>
      <c r="S823" s="7" t="s">
        <v>33</v>
      </c>
      <c r="AG823" s="6">
        <v>352</v>
      </c>
      <c r="AH823" s="6">
        <v>352</v>
      </c>
      <c r="AV823" s="4">
        <v>22</v>
      </c>
      <c r="AW823" s="4">
        <v>21</v>
      </c>
    </row>
    <row r="824" spans="1:49" x14ac:dyDescent="0.2">
      <c r="A824" s="1">
        <v>43903</v>
      </c>
      <c r="B824">
        <f t="shared" ref="B824:B828" si="116">B823</f>
        <v>-1.66</v>
      </c>
      <c r="C824" s="1" t="s">
        <v>57</v>
      </c>
      <c r="D824" s="1" t="s">
        <v>61</v>
      </c>
      <c r="E824" s="1" t="s">
        <v>69</v>
      </c>
      <c r="F824" s="1" t="s">
        <v>53</v>
      </c>
      <c r="G824">
        <v>4876</v>
      </c>
      <c r="H824" s="4">
        <v>64</v>
      </c>
      <c r="I824" s="4">
        <v>105</v>
      </c>
      <c r="J824" s="4">
        <v>91</v>
      </c>
      <c r="K824" s="4">
        <v>104.19</v>
      </c>
      <c r="L824" s="4">
        <v>96</v>
      </c>
      <c r="M824" s="4">
        <v>87</v>
      </c>
      <c r="N824" s="4">
        <v>115</v>
      </c>
      <c r="O824" s="4">
        <v>82</v>
      </c>
      <c r="P824" s="4">
        <v>71.884530121741605</v>
      </c>
      <c r="Q824" s="4">
        <v>89.007501630187093</v>
      </c>
      <c r="R824" s="4">
        <v>75</v>
      </c>
      <c r="S824" s="7" t="s">
        <v>33</v>
      </c>
      <c r="AG824" s="6">
        <v>478</v>
      </c>
      <c r="AH824" s="6">
        <v>478</v>
      </c>
      <c r="AV824" s="4">
        <v>16</v>
      </c>
      <c r="AW824" s="4">
        <v>16</v>
      </c>
    </row>
    <row r="825" spans="1:49" x14ac:dyDescent="0.2">
      <c r="A825" s="1">
        <v>43902</v>
      </c>
      <c r="B825">
        <f t="shared" si="116"/>
        <v>-1.66</v>
      </c>
      <c r="C825" s="1" t="s">
        <v>57</v>
      </c>
      <c r="D825" s="1" t="s">
        <v>61</v>
      </c>
      <c r="E825" s="1" t="s">
        <v>69</v>
      </c>
      <c r="F825" s="1" t="s">
        <v>53</v>
      </c>
      <c r="G825">
        <v>4965</v>
      </c>
      <c r="H825" s="4">
        <v>71</v>
      </c>
      <c r="I825" s="4">
        <v>103</v>
      </c>
      <c r="J825" s="4">
        <v>95</v>
      </c>
      <c r="K825" s="4">
        <v>98.87</v>
      </c>
      <c r="L825" s="4">
        <v>97</v>
      </c>
      <c r="M825" s="4">
        <v>92</v>
      </c>
      <c r="N825" s="4">
        <v>114</v>
      </c>
      <c r="O825" s="4">
        <v>87</v>
      </c>
      <c r="P825" s="4">
        <v>81.667369837303298</v>
      </c>
      <c r="Q825" s="4">
        <v>93.750650714365193</v>
      </c>
      <c r="R825" s="4">
        <v>84</v>
      </c>
      <c r="S825" s="7" t="s">
        <v>33</v>
      </c>
      <c r="AG825" s="6">
        <v>484</v>
      </c>
      <c r="AH825" s="6">
        <v>484</v>
      </c>
      <c r="AV825" s="4">
        <v>13</v>
      </c>
      <c r="AW825" s="4">
        <v>13</v>
      </c>
    </row>
    <row r="826" spans="1:49" x14ac:dyDescent="0.2">
      <c r="A826" s="1">
        <v>43901</v>
      </c>
      <c r="B826">
        <f t="shared" si="116"/>
        <v>-1.66</v>
      </c>
      <c r="C826" s="1" t="s">
        <v>57</v>
      </c>
      <c r="D826" s="1" t="s">
        <v>61</v>
      </c>
      <c r="E826" s="1" t="s">
        <v>69</v>
      </c>
      <c r="F826" s="1" t="s">
        <v>53</v>
      </c>
      <c r="G826">
        <v>5011</v>
      </c>
      <c r="H826" s="4">
        <v>81</v>
      </c>
      <c r="I826" s="4">
        <v>102</v>
      </c>
      <c r="J826" s="4">
        <v>97</v>
      </c>
      <c r="K826" s="4">
        <v>106.91</v>
      </c>
      <c r="L826" s="4">
        <v>109</v>
      </c>
      <c r="M826" s="4">
        <v>94</v>
      </c>
      <c r="N826" s="4">
        <v>108</v>
      </c>
      <c r="O826" s="4">
        <v>90</v>
      </c>
      <c r="P826" s="4">
        <v>85.836955759561604</v>
      </c>
      <c r="Q826" s="4">
        <v>95.756763971540096</v>
      </c>
      <c r="R826" s="4">
        <v>91</v>
      </c>
      <c r="S826" s="7" t="s">
        <v>33</v>
      </c>
      <c r="AG826" s="6">
        <v>403</v>
      </c>
      <c r="AH826" s="6">
        <v>403</v>
      </c>
      <c r="AV826" s="4">
        <v>8</v>
      </c>
      <c r="AW826" s="4">
        <v>7</v>
      </c>
    </row>
    <row r="827" spans="1:49" x14ac:dyDescent="0.2">
      <c r="A827" s="1">
        <v>43900</v>
      </c>
      <c r="B827">
        <f t="shared" si="116"/>
        <v>-1.66</v>
      </c>
      <c r="C827" s="1" t="s">
        <v>57</v>
      </c>
      <c r="D827" s="1" t="s">
        <v>61</v>
      </c>
      <c r="E827" s="1" t="s">
        <v>69</v>
      </c>
      <c r="F827" s="1" t="s">
        <v>53</v>
      </c>
      <c r="G827">
        <v>5056</v>
      </c>
      <c r="H827" s="4">
        <v>77</v>
      </c>
      <c r="I827" s="4">
        <v>102</v>
      </c>
      <c r="J827" s="4">
        <v>98</v>
      </c>
      <c r="K827" s="4">
        <v>105.54</v>
      </c>
      <c r="L827" s="4">
        <v>97</v>
      </c>
      <c r="M827" s="4">
        <v>94</v>
      </c>
      <c r="N827" s="4">
        <v>107</v>
      </c>
      <c r="O827" s="4">
        <v>93</v>
      </c>
      <c r="P827" s="4">
        <v>88.130068202366701</v>
      </c>
      <c r="Q827" s="4">
        <v>97.1138278514387</v>
      </c>
      <c r="R827" s="4">
        <v>97</v>
      </c>
      <c r="S827" s="7" t="s">
        <v>33</v>
      </c>
      <c r="AG827" s="6">
        <v>265</v>
      </c>
      <c r="AH827" s="6">
        <v>265</v>
      </c>
      <c r="AV827" s="4">
        <v>3</v>
      </c>
      <c r="AW827" s="4">
        <v>3</v>
      </c>
    </row>
    <row r="828" spans="1:49" x14ac:dyDescent="0.2">
      <c r="A828" s="1">
        <v>43899</v>
      </c>
      <c r="B828">
        <f t="shared" si="116"/>
        <v>-1.66</v>
      </c>
      <c r="C828" s="1" t="s">
        <v>57</v>
      </c>
      <c r="D828" s="1" t="s">
        <v>61</v>
      </c>
      <c r="E828" s="1" t="s">
        <v>69</v>
      </c>
      <c r="F828" s="1" t="s">
        <v>53</v>
      </c>
      <c r="G828">
        <v>5083</v>
      </c>
      <c r="H828" s="4">
        <v>78</v>
      </c>
      <c r="I828" s="4">
        <v>101</v>
      </c>
      <c r="J828" s="4">
        <v>99</v>
      </c>
      <c r="K828" s="4">
        <v>97.5</v>
      </c>
      <c r="L828" s="4">
        <v>103</v>
      </c>
      <c r="M828" s="4">
        <v>97</v>
      </c>
      <c r="N828" s="4">
        <v>106</v>
      </c>
      <c r="O828" s="4">
        <v>94</v>
      </c>
      <c r="P828" s="4">
        <v>92.563780951116598</v>
      </c>
      <c r="Q828" s="4">
        <v>99.029619230114307</v>
      </c>
      <c r="R828" s="4">
        <v>97</v>
      </c>
      <c r="S828" s="7" t="s">
        <v>33</v>
      </c>
      <c r="AG828" s="6">
        <v>148</v>
      </c>
      <c r="AH828" s="6">
        <v>148</v>
      </c>
      <c r="AV828" s="4">
        <v>5</v>
      </c>
      <c r="AW828" s="4">
        <v>5</v>
      </c>
    </row>
    <row r="829" spans="1:49" x14ac:dyDescent="0.2">
      <c r="A829" s="1">
        <v>43898</v>
      </c>
      <c r="B829">
        <v>-5.46</v>
      </c>
      <c r="C829" s="1" t="s">
        <v>57</v>
      </c>
      <c r="D829" s="1" t="s">
        <v>61</v>
      </c>
      <c r="E829" s="1" t="s">
        <v>69</v>
      </c>
      <c r="F829" s="1" t="s">
        <v>53</v>
      </c>
      <c r="G829">
        <v>5137</v>
      </c>
      <c r="H829" s="4">
        <v>93</v>
      </c>
      <c r="I829" s="4">
        <v>100</v>
      </c>
      <c r="J829" s="4">
        <v>100</v>
      </c>
      <c r="K829" s="4">
        <v>96.86</v>
      </c>
      <c r="L829" s="4">
        <v>98</v>
      </c>
      <c r="M829" s="4">
        <v>99</v>
      </c>
      <c r="N829" s="4">
        <v>103</v>
      </c>
      <c r="O829" s="4">
        <v>96</v>
      </c>
      <c r="P829" s="4">
        <v>99.103842181226199</v>
      </c>
      <c r="Q829" s="4">
        <v>100.34356061917499</v>
      </c>
      <c r="R829" s="4">
        <v>94</v>
      </c>
      <c r="S829" s="7" t="s">
        <v>33</v>
      </c>
      <c r="AG829" s="6">
        <v>55</v>
      </c>
      <c r="AH829" s="6">
        <v>55</v>
      </c>
      <c r="AV829" s="4">
        <v>3</v>
      </c>
      <c r="AW829" s="4">
        <v>2</v>
      </c>
    </row>
    <row r="830" spans="1:49" x14ac:dyDescent="0.2">
      <c r="A830" s="1">
        <v>43897</v>
      </c>
      <c r="B830">
        <f>B829</f>
        <v>-5.46</v>
      </c>
      <c r="C830" s="1" t="s">
        <v>57</v>
      </c>
      <c r="D830" s="1" t="s">
        <v>61</v>
      </c>
      <c r="E830" s="1" t="s">
        <v>69</v>
      </c>
      <c r="F830" s="1" t="s">
        <v>53</v>
      </c>
      <c r="G830">
        <v>5202</v>
      </c>
      <c r="H830" s="4">
        <v>93</v>
      </c>
      <c r="I830" s="4">
        <v>100</v>
      </c>
      <c r="J830" s="4">
        <v>101</v>
      </c>
      <c r="K830" s="4">
        <v>167.1</v>
      </c>
      <c r="L830" s="4">
        <v>94</v>
      </c>
      <c r="M830" s="4">
        <v>98</v>
      </c>
      <c r="N830" s="4">
        <v>103</v>
      </c>
      <c r="O830" s="8"/>
      <c r="P830" s="8"/>
      <c r="Q830" s="8"/>
      <c r="R830" s="8"/>
      <c r="S830" s="7" t="s">
        <v>33</v>
      </c>
      <c r="AG830" s="6">
        <v>68</v>
      </c>
      <c r="AH830" s="6">
        <v>68</v>
      </c>
      <c r="AV830" s="4">
        <v>0</v>
      </c>
      <c r="AW830" s="4">
        <v>0</v>
      </c>
    </row>
    <row r="831" spans="1:49" x14ac:dyDescent="0.2">
      <c r="A831" s="1">
        <v>43896</v>
      </c>
      <c r="B831">
        <f t="shared" ref="B831:B835" si="117">B830</f>
        <v>-5.46</v>
      </c>
      <c r="C831" s="1" t="s">
        <v>57</v>
      </c>
      <c r="D831" s="1" t="s">
        <v>61</v>
      </c>
      <c r="E831" s="1" t="s">
        <v>69</v>
      </c>
      <c r="F831" s="1" t="s">
        <v>53</v>
      </c>
      <c r="G831">
        <v>5225</v>
      </c>
      <c r="H831" s="4">
        <v>93</v>
      </c>
      <c r="I831" s="4">
        <v>101</v>
      </c>
      <c r="J831" s="4">
        <v>100</v>
      </c>
      <c r="K831" s="4">
        <v>142.09</v>
      </c>
      <c r="L831" s="4">
        <v>114</v>
      </c>
      <c r="M831" s="4">
        <v>101</v>
      </c>
      <c r="N831" s="4">
        <v>108</v>
      </c>
      <c r="O831" s="8"/>
      <c r="P831" s="8"/>
      <c r="Q831" s="8"/>
      <c r="R831" s="8"/>
      <c r="S831" s="7" t="s">
        <v>33</v>
      </c>
      <c r="AG831" s="6">
        <v>83</v>
      </c>
      <c r="AH831" s="6">
        <v>83</v>
      </c>
      <c r="AV831" s="4">
        <v>0</v>
      </c>
      <c r="AW831" s="4">
        <v>2</v>
      </c>
    </row>
    <row r="832" spans="1:49" x14ac:dyDescent="0.2">
      <c r="A832" s="1">
        <v>43895</v>
      </c>
      <c r="B832">
        <f t="shared" si="117"/>
        <v>-5.46</v>
      </c>
      <c r="C832" s="1" t="s">
        <v>57</v>
      </c>
      <c r="D832" s="1" t="s">
        <v>61</v>
      </c>
      <c r="E832" s="1" t="s">
        <v>69</v>
      </c>
      <c r="F832" s="1" t="s">
        <v>53</v>
      </c>
      <c r="G832">
        <v>5235</v>
      </c>
      <c r="H832" s="4">
        <v>87</v>
      </c>
      <c r="I832" s="4">
        <v>102</v>
      </c>
      <c r="J832" s="4">
        <v>99</v>
      </c>
      <c r="K832" s="4">
        <v>106.5</v>
      </c>
      <c r="L832" s="4">
        <v>79</v>
      </c>
      <c r="M832" s="4">
        <v>91</v>
      </c>
      <c r="N832" s="4">
        <v>95</v>
      </c>
      <c r="O832" s="8"/>
      <c r="P832" s="8"/>
      <c r="Q832" s="8"/>
      <c r="R832" s="8"/>
      <c r="S832" s="7" t="s">
        <v>33</v>
      </c>
      <c r="AG832" s="6">
        <v>49</v>
      </c>
      <c r="AH832" s="6">
        <v>49</v>
      </c>
      <c r="AV832" s="4">
        <v>3</v>
      </c>
      <c r="AW832" s="4">
        <v>2</v>
      </c>
    </row>
    <row r="833" spans="1:49" x14ac:dyDescent="0.2">
      <c r="A833" s="1">
        <v>43894</v>
      </c>
      <c r="B833">
        <f t="shared" si="117"/>
        <v>-5.46</v>
      </c>
      <c r="C833" s="1" t="s">
        <v>57</v>
      </c>
      <c r="D833" s="1" t="s">
        <v>61</v>
      </c>
      <c r="E833" s="1" t="s">
        <v>69</v>
      </c>
      <c r="F833" s="1" t="s">
        <v>53</v>
      </c>
      <c r="G833">
        <v>5248</v>
      </c>
      <c r="H833" s="4">
        <v>90</v>
      </c>
      <c r="I833" s="4">
        <v>101</v>
      </c>
      <c r="J833" s="4">
        <v>100</v>
      </c>
      <c r="K833" s="4">
        <v>114.25</v>
      </c>
      <c r="L833" s="4">
        <v>93</v>
      </c>
      <c r="M833" s="4">
        <v>97</v>
      </c>
      <c r="N833" s="4">
        <v>101</v>
      </c>
      <c r="O833" s="8"/>
      <c r="P833" s="8"/>
      <c r="Q833" s="8"/>
      <c r="R833" s="8"/>
      <c r="S833" s="7" t="s">
        <v>33</v>
      </c>
      <c r="AG833" s="6">
        <v>56</v>
      </c>
      <c r="AH833" s="6">
        <v>56</v>
      </c>
      <c r="AV833" s="4">
        <v>0</v>
      </c>
      <c r="AW833" s="4">
        <v>1</v>
      </c>
    </row>
    <row r="834" spans="1:49" x14ac:dyDescent="0.2">
      <c r="A834" s="1">
        <v>43893</v>
      </c>
      <c r="B834">
        <f t="shared" si="117"/>
        <v>-5.46</v>
      </c>
      <c r="C834" s="1" t="s">
        <v>57</v>
      </c>
      <c r="D834" s="1" t="s">
        <v>61</v>
      </c>
      <c r="E834" s="1" t="s">
        <v>69</v>
      </c>
      <c r="F834" s="1" t="s">
        <v>53</v>
      </c>
      <c r="G834">
        <v>5276</v>
      </c>
      <c r="H834" s="4">
        <v>90</v>
      </c>
      <c r="I834" s="4">
        <v>100</v>
      </c>
      <c r="J834" s="4">
        <v>101</v>
      </c>
      <c r="K834" s="4">
        <v>114.68</v>
      </c>
      <c r="L834" s="4">
        <v>103</v>
      </c>
      <c r="M834" s="4">
        <v>99</v>
      </c>
      <c r="N834" s="4">
        <v>102</v>
      </c>
      <c r="O834" s="8"/>
      <c r="P834" s="8"/>
      <c r="Q834" s="8"/>
      <c r="R834" s="8"/>
      <c r="S834" s="7" t="s">
        <v>33</v>
      </c>
      <c r="AG834" s="6">
        <v>57</v>
      </c>
      <c r="AH834" s="6">
        <v>57</v>
      </c>
      <c r="AV834" s="4">
        <v>2</v>
      </c>
      <c r="AW834" s="4">
        <v>0</v>
      </c>
    </row>
    <row r="835" spans="1:49" x14ac:dyDescent="0.2">
      <c r="A835" s="1">
        <v>43892</v>
      </c>
      <c r="B835">
        <f t="shared" si="117"/>
        <v>-5.46</v>
      </c>
      <c r="C835" s="1" t="s">
        <v>57</v>
      </c>
      <c r="D835" s="1" t="s">
        <v>61</v>
      </c>
      <c r="E835" s="1" t="s">
        <v>69</v>
      </c>
      <c r="F835" s="1" t="s">
        <v>53</v>
      </c>
      <c r="G835">
        <v>5320</v>
      </c>
      <c r="H835" s="4">
        <v>90</v>
      </c>
      <c r="I835" s="4">
        <v>100</v>
      </c>
      <c r="J835" s="4">
        <v>101</v>
      </c>
      <c r="K835" s="4">
        <v>103.64</v>
      </c>
      <c r="L835" s="4">
        <v>115</v>
      </c>
      <c r="M835" s="4">
        <v>102</v>
      </c>
      <c r="N835" s="4">
        <v>106</v>
      </c>
      <c r="O835" s="8"/>
      <c r="P835" s="8"/>
      <c r="Q835" s="8"/>
      <c r="R835" s="8"/>
      <c r="S835" s="7" t="s">
        <v>33</v>
      </c>
      <c r="AG835" s="6">
        <v>41</v>
      </c>
      <c r="AH835" s="6">
        <v>41</v>
      </c>
      <c r="AV835" s="4">
        <v>1</v>
      </c>
      <c r="AW835" s="4">
        <v>1</v>
      </c>
    </row>
    <row r="836" spans="1:49" x14ac:dyDescent="0.2">
      <c r="A836" s="1">
        <v>43891</v>
      </c>
      <c r="B836">
        <v>-3.22</v>
      </c>
      <c r="C836" s="1" t="s">
        <v>57</v>
      </c>
      <c r="D836" s="1" t="s">
        <v>61</v>
      </c>
      <c r="E836" s="1" t="s">
        <v>69</v>
      </c>
      <c r="F836" s="1" t="s">
        <v>53</v>
      </c>
      <c r="G836">
        <v>5326</v>
      </c>
      <c r="H836" s="4">
        <v>98</v>
      </c>
      <c r="I836" s="4">
        <v>99</v>
      </c>
      <c r="J836" s="4">
        <v>101</v>
      </c>
      <c r="K836" s="4">
        <v>109.26</v>
      </c>
      <c r="L836" s="4">
        <v>124</v>
      </c>
      <c r="M836" s="4">
        <v>109</v>
      </c>
      <c r="N836" s="4">
        <v>104</v>
      </c>
      <c r="O836" s="8"/>
      <c r="P836" s="8"/>
      <c r="Q836" s="8"/>
      <c r="R836" s="8"/>
      <c r="S836" s="7" t="s">
        <v>33</v>
      </c>
      <c r="AG836" s="6">
        <v>20</v>
      </c>
      <c r="AH836" s="6">
        <v>20</v>
      </c>
      <c r="AW836" s="4">
        <v>0</v>
      </c>
    </row>
    <row r="837" spans="1:49" x14ac:dyDescent="0.2">
      <c r="A837" s="1">
        <v>43890</v>
      </c>
      <c r="B837">
        <f>B836</f>
        <v>-3.22</v>
      </c>
      <c r="C837" s="1" t="s">
        <v>57</v>
      </c>
      <c r="D837" s="1" t="s">
        <v>61</v>
      </c>
      <c r="E837" s="1" t="s">
        <v>69</v>
      </c>
      <c r="F837" s="1" t="s">
        <v>53</v>
      </c>
      <c r="G837">
        <v>5305</v>
      </c>
      <c r="H837" s="4">
        <v>96</v>
      </c>
      <c r="I837" s="4">
        <v>101</v>
      </c>
      <c r="J837" s="4">
        <v>100</v>
      </c>
      <c r="K837" s="4">
        <v>153.91999999999999</v>
      </c>
      <c r="L837" s="4">
        <v>79</v>
      </c>
      <c r="M837" s="4">
        <v>98</v>
      </c>
      <c r="N837" s="4">
        <v>100</v>
      </c>
      <c r="O837" s="8"/>
      <c r="P837" s="8"/>
      <c r="Q837" s="8"/>
      <c r="R837" s="8"/>
      <c r="S837" s="7" t="s">
        <v>34</v>
      </c>
      <c r="AG837" s="6">
        <v>4</v>
      </c>
      <c r="AH837" s="6">
        <v>4</v>
      </c>
      <c r="AW837" s="4">
        <v>0</v>
      </c>
    </row>
    <row r="838" spans="1:49" x14ac:dyDescent="0.2">
      <c r="A838" s="1">
        <v>43889</v>
      </c>
      <c r="B838">
        <f t="shared" ref="B838:B842" si="118">B837</f>
        <v>-3.22</v>
      </c>
      <c r="C838" s="1" t="s">
        <v>57</v>
      </c>
      <c r="D838" s="1" t="s">
        <v>61</v>
      </c>
      <c r="E838" s="1" t="s">
        <v>69</v>
      </c>
      <c r="F838" s="1" t="s">
        <v>53</v>
      </c>
      <c r="G838">
        <v>5285</v>
      </c>
      <c r="H838" s="4">
        <v>99</v>
      </c>
      <c r="I838" s="4">
        <v>101</v>
      </c>
      <c r="J838" s="4">
        <v>100</v>
      </c>
      <c r="K838" s="4">
        <v>133.76</v>
      </c>
      <c r="L838" s="4">
        <v>91</v>
      </c>
      <c r="M838" s="4">
        <v>98</v>
      </c>
      <c r="N838" s="4">
        <v>99</v>
      </c>
      <c r="O838" s="8"/>
      <c r="P838" s="8"/>
      <c r="Q838" s="8"/>
      <c r="R838" s="8"/>
      <c r="S838" s="7" t="s">
        <v>34</v>
      </c>
      <c r="AG838" s="6">
        <v>12</v>
      </c>
      <c r="AH838" s="6">
        <v>12</v>
      </c>
      <c r="AW838" s="4">
        <v>0</v>
      </c>
    </row>
    <row r="839" spans="1:49" x14ac:dyDescent="0.2">
      <c r="A839" s="1">
        <v>43888</v>
      </c>
      <c r="B839">
        <f t="shared" si="118"/>
        <v>-3.22</v>
      </c>
      <c r="C839" s="1" t="s">
        <v>57</v>
      </c>
      <c r="D839" s="1" t="s">
        <v>61</v>
      </c>
      <c r="E839" s="1" t="s">
        <v>69</v>
      </c>
      <c r="F839" s="1" t="s">
        <v>53</v>
      </c>
      <c r="G839">
        <v>5256</v>
      </c>
      <c r="H839" s="4">
        <v>96</v>
      </c>
      <c r="I839" s="4">
        <v>101</v>
      </c>
      <c r="J839" s="4">
        <v>100</v>
      </c>
      <c r="K839" s="4">
        <v>123.88</v>
      </c>
      <c r="L839" s="4">
        <v>104</v>
      </c>
      <c r="M839" s="4">
        <v>100</v>
      </c>
      <c r="N839" s="4">
        <v>99</v>
      </c>
      <c r="O839" s="8"/>
      <c r="P839" s="8"/>
      <c r="Q839" s="8"/>
      <c r="R839" s="8"/>
      <c r="S839" s="7" t="s">
        <v>34</v>
      </c>
      <c r="AG839" s="6">
        <v>8</v>
      </c>
      <c r="AH839" s="6">
        <v>8</v>
      </c>
      <c r="AW839" s="4">
        <v>0</v>
      </c>
    </row>
    <row r="840" spans="1:49" x14ac:dyDescent="0.2">
      <c r="A840" s="1">
        <v>43887</v>
      </c>
      <c r="B840">
        <f t="shared" si="118"/>
        <v>-3.22</v>
      </c>
      <c r="C840" s="1" t="s">
        <v>57</v>
      </c>
      <c r="D840" s="1" t="s">
        <v>61</v>
      </c>
      <c r="E840" s="1" t="s">
        <v>69</v>
      </c>
      <c r="F840" s="1" t="s">
        <v>53</v>
      </c>
      <c r="G840">
        <v>5227</v>
      </c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7" t="s">
        <v>34</v>
      </c>
      <c r="AG840" s="6">
        <v>2</v>
      </c>
      <c r="AH840" s="6">
        <v>2</v>
      </c>
      <c r="AW840" s="4">
        <v>0</v>
      </c>
    </row>
    <row r="841" spans="1:49" x14ac:dyDescent="0.2">
      <c r="A841" s="1">
        <v>43886</v>
      </c>
      <c r="B841">
        <f t="shared" si="118"/>
        <v>-3.22</v>
      </c>
      <c r="C841" s="1" t="s">
        <v>57</v>
      </c>
      <c r="D841" s="1" t="s">
        <v>61</v>
      </c>
      <c r="E841" s="1" t="s">
        <v>69</v>
      </c>
      <c r="F841" s="1" t="s">
        <v>53</v>
      </c>
      <c r="G841">
        <v>5151</v>
      </c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7" t="s">
        <v>34</v>
      </c>
      <c r="AG841" s="6">
        <v>3</v>
      </c>
      <c r="AH841" s="6">
        <v>3</v>
      </c>
      <c r="AW841" s="4">
        <v>0</v>
      </c>
    </row>
    <row r="842" spans="1:49" x14ac:dyDescent="0.2">
      <c r="A842" s="1">
        <v>43885</v>
      </c>
      <c r="B842">
        <f t="shared" si="118"/>
        <v>-3.22</v>
      </c>
      <c r="C842" s="1" t="s">
        <v>57</v>
      </c>
      <c r="D842" s="1" t="s">
        <v>61</v>
      </c>
      <c r="E842" s="1" t="s">
        <v>69</v>
      </c>
      <c r="F842" s="1" t="s">
        <v>53</v>
      </c>
      <c r="G842">
        <v>5102</v>
      </c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7" t="s">
        <v>34</v>
      </c>
      <c r="AG842" s="6">
        <v>2</v>
      </c>
      <c r="AH842" s="6">
        <v>2</v>
      </c>
      <c r="AW842" s="4">
        <v>0</v>
      </c>
    </row>
    <row r="843" spans="1:49" x14ac:dyDescent="0.2">
      <c r="A843" s="1">
        <v>43884</v>
      </c>
      <c r="B843">
        <v>-6.92</v>
      </c>
      <c r="C843" s="1" t="s">
        <v>57</v>
      </c>
      <c r="D843" s="1" t="s">
        <v>61</v>
      </c>
      <c r="E843" s="1" t="s">
        <v>69</v>
      </c>
      <c r="F843" s="1" t="s">
        <v>53</v>
      </c>
      <c r="G843">
        <v>5124</v>
      </c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7" t="s">
        <v>34</v>
      </c>
      <c r="AG843" s="6">
        <v>6</v>
      </c>
      <c r="AH843" s="6">
        <v>6</v>
      </c>
      <c r="AW843" s="4">
        <v>0</v>
      </c>
    </row>
    <row r="844" spans="1:49" x14ac:dyDescent="0.2">
      <c r="A844" s="1">
        <v>43883</v>
      </c>
      <c r="B844">
        <f>B843</f>
        <v>-6.92</v>
      </c>
      <c r="C844" s="1" t="s">
        <v>57</v>
      </c>
      <c r="D844" s="1" t="s">
        <v>61</v>
      </c>
      <c r="E844" s="1" t="s">
        <v>69</v>
      </c>
      <c r="F844" s="1" t="s">
        <v>53</v>
      </c>
      <c r="G844">
        <v>5123</v>
      </c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7" t="s">
        <v>34</v>
      </c>
      <c r="AG844" s="6">
        <v>0</v>
      </c>
      <c r="AH844" s="6">
        <v>0</v>
      </c>
      <c r="AW844" s="4">
        <v>1</v>
      </c>
    </row>
    <row r="845" spans="1:49" x14ac:dyDescent="0.2">
      <c r="A845" s="1">
        <v>43882</v>
      </c>
      <c r="B845">
        <f t="shared" ref="B845:B849" si="119">B844</f>
        <v>-6.92</v>
      </c>
      <c r="C845" s="1" t="s">
        <v>57</v>
      </c>
      <c r="D845" s="1" t="s">
        <v>61</v>
      </c>
      <c r="E845" s="1" t="s">
        <v>69</v>
      </c>
      <c r="F845" s="1" t="s">
        <v>53</v>
      </c>
      <c r="G845">
        <v>5108</v>
      </c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7" t="s">
        <v>34</v>
      </c>
      <c r="AG845" s="6">
        <v>2</v>
      </c>
      <c r="AH845" s="6">
        <v>2</v>
      </c>
      <c r="AW845" s="4">
        <v>0</v>
      </c>
    </row>
    <row r="846" spans="1:49" x14ac:dyDescent="0.2">
      <c r="A846" s="1">
        <v>43881</v>
      </c>
      <c r="B846">
        <f t="shared" si="119"/>
        <v>-6.92</v>
      </c>
      <c r="C846" s="1" t="s">
        <v>57</v>
      </c>
      <c r="D846" s="1" t="s">
        <v>61</v>
      </c>
      <c r="E846" s="1" t="s">
        <v>69</v>
      </c>
      <c r="F846" s="1" t="s">
        <v>53</v>
      </c>
      <c r="G846">
        <v>5053</v>
      </c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7" t="s">
        <v>34</v>
      </c>
      <c r="AG846" s="6">
        <v>0</v>
      </c>
      <c r="AH846" s="6">
        <v>0</v>
      </c>
      <c r="AW846" s="4">
        <v>0</v>
      </c>
    </row>
    <row r="847" spans="1:49" x14ac:dyDescent="0.2">
      <c r="A847" s="1">
        <v>43880</v>
      </c>
      <c r="B847">
        <f t="shared" si="119"/>
        <v>-6.92</v>
      </c>
      <c r="C847" s="1" t="s">
        <v>57</v>
      </c>
      <c r="D847" s="1" t="s">
        <v>61</v>
      </c>
      <c r="E847" s="1" t="s">
        <v>69</v>
      </c>
      <c r="F847" s="1" t="s">
        <v>53</v>
      </c>
      <c r="G847">
        <v>5005</v>
      </c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7" t="s">
        <v>34</v>
      </c>
      <c r="AG847" s="6">
        <v>0</v>
      </c>
      <c r="AH847" s="6">
        <v>0</v>
      </c>
      <c r="AW847" s="4">
        <v>0</v>
      </c>
    </row>
    <row r="848" spans="1:49" x14ac:dyDescent="0.2">
      <c r="A848" s="1">
        <v>43879</v>
      </c>
      <c r="B848">
        <f t="shared" si="119"/>
        <v>-6.92</v>
      </c>
      <c r="C848" s="1" t="s">
        <v>57</v>
      </c>
      <c r="D848" s="1" t="s">
        <v>61</v>
      </c>
      <c r="E848" s="1" t="s">
        <v>69</v>
      </c>
      <c r="F848" s="1" t="s">
        <v>53</v>
      </c>
      <c r="G848">
        <v>4978</v>
      </c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7" t="s">
        <v>34</v>
      </c>
      <c r="AG848" s="6">
        <v>0</v>
      </c>
      <c r="AH848" s="6">
        <v>0</v>
      </c>
      <c r="AW848" s="4">
        <v>0</v>
      </c>
    </row>
    <row r="849" spans="1:49" x14ac:dyDescent="0.2">
      <c r="A849" s="1">
        <v>43878</v>
      </c>
      <c r="B849">
        <f t="shared" si="119"/>
        <v>-6.92</v>
      </c>
      <c r="C849" s="1" t="s">
        <v>57</v>
      </c>
      <c r="D849" s="1" t="s">
        <v>61</v>
      </c>
      <c r="E849" s="1" t="s">
        <v>69</v>
      </c>
      <c r="F849" s="1" t="s">
        <v>53</v>
      </c>
      <c r="G849">
        <v>4964</v>
      </c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7" t="s">
        <v>34</v>
      </c>
      <c r="AG849" s="6">
        <v>1</v>
      </c>
      <c r="AH849" s="6">
        <v>1</v>
      </c>
      <c r="AW849" s="4">
        <v>0</v>
      </c>
    </row>
    <row r="850" spans="1:49" x14ac:dyDescent="0.2">
      <c r="A850" s="1">
        <v>43877</v>
      </c>
      <c r="B850">
        <v>-6.41</v>
      </c>
      <c r="C850" s="1" t="s">
        <v>57</v>
      </c>
      <c r="D850" s="1" t="s">
        <v>61</v>
      </c>
      <c r="E850" s="1" t="s">
        <v>69</v>
      </c>
      <c r="F850" s="1" t="s">
        <v>53</v>
      </c>
      <c r="G850">
        <v>4915</v>
      </c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7" t="s">
        <v>34</v>
      </c>
      <c r="AG850" s="6">
        <v>0</v>
      </c>
      <c r="AH850" s="6">
        <v>0</v>
      </c>
      <c r="AW850" s="4">
        <v>0</v>
      </c>
    </row>
    <row r="851" spans="1:49" x14ac:dyDescent="0.2">
      <c r="A851" s="1">
        <v>43876</v>
      </c>
      <c r="B851">
        <f>B850</f>
        <v>-6.41</v>
      </c>
      <c r="C851" s="1" t="s">
        <v>57</v>
      </c>
      <c r="D851" s="1" t="s">
        <v>61</v>
      </c>
      <c r="E851" s="1" t="s">
        <v>69</v>
      </c>
      <c r="F851" s="1" t="s">
        <v>53</v>
      </c>
      <c r="G851">
        <v>4880</v>
      </c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7" t="s">
        <v>34</v>
      </c>
      <c r="AG851" s="6">
        <v>0</v>
      </c>
      <c r="AH851" s="6">
        <v>0</v>
      </c>
      <c r="AW851" s="4">
        <v>0</v>
      </c>
    </row>
    <row r="852" spans="1:49" x14ac:dyDescent="0.2">
      <c r="A852" s="1">
        <v>43875</v>
      </c>
      <c r="B852">
        <f t="shared" ref="B852:B856" si="120">B851</f>
        <v>-6.41</v>
      </c>
      <c r="C852" s="1" t="s">
        <v>57</v>
      </c>
      <c r="D852" s="1" t="s">
        <v>61</v>
      </c>
      <c r="E852" s="1" t="s">
        <v>69</v>
      </c>
      <c r="F852" s="1" t="s">
        <v>53</v>
      </c>
      <c r="G852">
        <v>4852</v>
      </c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7" t="s">
        <v>34</v>
      </c>
      <c r="AG852" s="6">
        <v>0</v>
      </c>
      <c r="AH852" s="6">
        <v>0</v>
      </c>
      <c r="AW852" s="4">
        <v>0</v>
      </c>
    </row>
    <row r="853" spans="1:49" x14ac:dyDescent="0.2">
      <c r="A853" s="1">
        <v>43874</v>
      </c>
      <c r="B853">
        <f t="shared" si="120"/>
        <v>-6.41</v>
      </c>
      <c r="C853" s="1" t="s">
        <v>57</v>
      </c>
      <c r="D853" s="1" t="s">
        <v>61</v>
      </c>
      <c r="E853" s="1" t="s">
        <v>69</v>
      </c>
      <c r="F853" s="1" t="s">
        <v>53</v>
      </c>
      <c r="G853">
        <v>4844</v>
      </c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7" t="s">
        <v>34</v>
      </c>
      <c r="AG853" s="6">
        <v>1</v>
      </c>
      <c r="AH853" s="6">
        <v>1</v>
      </c>
      <c r="AW853" s="4">
        <v>0</v>
      </c>
    </row>
    <row r="854" spans="1:49" x14ac:dyDescent="0.2">
      <c r="A854" s="1">
        <v>43873</v>
      </c>
      <c r="B854">
        <f t="shared" si="120"/>
        <v>-6.41</v>
      </c>
      <c r="C854" s="1" t="s">
        <v>57</v>
      </c>
      <c r="D854" s="1" t="s">
        <v>61</v>
      </c>
      <c r="E854" s="1" t="s">
        <v>69</v>
      </c>
      <c r="F854" s="1" t="s">
        <v>53</v>
      </c>
      <c r="G854">
        <v>4855</v>
      </c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7" t="s">
        <v>34</v>
      </c>
      <c r="AG854" s="6">
        <v>1</v>
      </c>
      <c r="AH854" s="6">
        <v>1</v>
      </c>
      <c r="AW854" s="4">
        <v>0</v>
      </c>
    </row>
    <row r="855" spans="1:49" x14ac:dyDescent="0.2">
      <c r="A855" s="1">
        <v>43872</v>
      </c>
      <c r="B855">
        <f t="shared" si="120"/>
        <v>-6.41</v>
      </c>
      <c r="C855" s="1" t="s">
        <v>57</v>
      </c>
      <c r="D855" s="1" t="s">
        <v>61</v>
      </c>
      <c r="E855" s="1" t="s">
        <v>69</v>
      </c>
      <c r="F855" s="1" t="s">
        <v>53</v>
      </c>
      <c r="G855">
        <v>4888</v>
      </c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7" t="s">
        <v>34</v>
      </c>
      <c r="AG855" s="6">
        <v>4</v>
      </c>
      <c r="AH855" s="6">
        <v>4</v>
      </c>
      <c r="AW855" s="4">
        <v>0</v>
      </c>
    </row>
    <row r="856" spans="1:49" x14ac:dyDescent="0.2">
      <c r="A856" s="1">
        <v>43871</v>
      </c>
      <c r="B856">
        <f t="shared" si="120"/>
        <v>-6.41</v>
      </c>
      <c r="C856" s="1" t="s">
        <v>57</v>
      </c>
      <c r="D856" s="1" t="s">
        <v>61</v>
      </c>
      <c r="E856" s="1" t="s">
        <v>69</v>
      </c>
      <c r="F856" s="1" t="s">
        <v>53</v>
      </c>
      <c r="G856">
        <v>4872</v>
      </c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7" t="s">
        <v>34</v>
      </c>
      <c r="AG856" s="6">
        <v>1</v>
      </c>
      <c r="AH856" s="6">
        <v>1</v>
      </c>
      <c r="AW856" s="4">
        <v>0</v>
      </c>
    </row>
    <row r="857" spans="1:49" x14ac:dyDescent="0.2">
      <c r="A857" s="1">
        <v>43870</v>
      </c>
      <c r="B857">
        <v>-7.66</v>
      </c>
      <c r="C857" s="1" t="s">
        <v>57</v>
      </c>
      <c r="D857" s="1" t="s">
        <v>61</v>
      </c>
      <c r="E857" s="1" t="s">
        <v>69</v>
      </c>
      <c r="F857" s="1" t="s">
        <v>53</v>
      </c>
      <c r="G857">
        <v>4856</v>
      </c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7" t="s">
        <v>34</v>
      </c>
      <c r="AG857" s="6">
        <v>1</v>
      </c>
      <c r="AH857" s="6">
        <v>1</v>
      </c>
      <c r="AW857" s="4">
        <v>0</v>
      </c>
    </row>
    <row r="858" spans="1:49" x14ac:dyDescent="0.2">
      <c r="A858" s="1">
        <v>43869</v>
      </c>
      <c r="B858">
        <f>B857</f>
        <v>-7.66</v>
      </c>
      <c r="C858" s="1" t="s">
        <v>57</v>
      </c>
      <c r="D858" s="1" t="s">
        <v>61</v>
      </c>
      <c r="E858" s="1" t="s">
        <v>69</v>
      </c>
      <c r="F858" s="1" t="s">
        <v>53</v>
      </c>
      <c r="G858">
        <v>4829</v>
      </c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7" t="s">
        <v>34</v>
      </c>
      <c r="AG858" s="6">
        <v>3</v>
      </c>
      <c r="AH858" s="6">
        <v>3</v>
      </c>
      <c r="AW858" s="4">
        <v>0</v>
      </c>
    </row>
    <row r="859" spans="1:49" x14ac:dyDescent="0.2">
      <c r="A859" s="1">
        <v>43868</v>
      </c>
      <c r="B859">
        <f t="shared" ref="B859:B863" si="121">B858</f>
        <v>-7.66</v>
      </c>
      <c r="C859" s="1" t="s">
        <v>57</v>
      </c>
      <c r="D859" s="1" t="s">
        <v>61</v>
      </c>
      <c r="E859" s="1" t="s">
        <v>69</v>
      </c>
      <c r="F859" s="1" t="s">
        <v>53</v>
      </c>
      <c r="G859">
        <v>4800</v>
      </c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7" t="s">
        <v>34</v>
      </c>
      <c r="AG859" s="6">
        <v>0</v>
      </c>
      <c r="AH859" s="6">
        <v>0</v>
      </c>
      <c r="AW859" s="4">
        <v>0</v>
      </c>
    </row>
    <row r="860" spans="1:49" x14ac:dyDescent="0.2">
      <c r="A860" s="1">
        <v>43867</v>
      </c>
      <c r="B860">
        <f t="shared" si="121"/>
        <v>-7.66</v>
      </c>
      <c r="C860" s="1" t="s">
        <v>57</v>
      </c>
      <c r="D860" s="1" t="s">
        <v>61</v>
      </c>
      <c r="E860" s="1" t="s">
        <v>69</v>
      </c>
      <c r="F860" s="1" t="s">
        <v>53</v>
      </c>
      <c r="G860">
        <v>4772</v>
      </c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7" t="s">
        <v>34</v>
      </c>
      <c r="AG860" s="6">
        <v>0</v>
      </c>
      <c r="AH860" s="6">
        <v>0</v>
      </c>
      <c r="AW860" s="4">
        <v>0</v>
      </c>
    </row>
    <row r="861" spans="1:49" x14ac:dyDescent="0.2">
      <c r="A861" s="1">
        <v>43866</v>
      </c>
      <c r="B861">
        <f t="shared" si="121"/>
        <v>-7.66</v>
      </c>
      <c r="C861" s="1" t="s">
        <v>57</v>
      </c>
      <c r="D861" s="1" t="s">
        <v>61</v>
      </c>
      <c r="E861" s="1" t="s">
        <v>69</v>
      </c>
      <c r="F861" s="1" t="s">
        <v>53</v>
      </c>
      <c r="G861">
        <v>4758</v>
      </c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7" t="s">
        <v>34</v>
      </c>
      <c r="AG861" s="6">
        <v>1</v>
      </c>
      <c r="AH861" s="6">
        <v>1</v>
      </c>
      <c r="AW861" s="4">
        <v>0</v>
      </c>
    </row>
    <row r="862" spans="1:49" x14ac:dyDescent="0.2">
      <c r="A862" s="1">
        <v>43865</v>
      </c>
      <c r="B862">
        <f t="shared" si="121"/>
        <v>-7.66</v>
      </c>
      <c r="C862" s="1" t="s">
        <v>57</v>
      </c>
      <c r="D862" s="1" t="s">
        <v>61</v>
      </c>
      <c r="E862" s="1" t="s">
        <v>69</v>
      </c>
      <c r="F862" s="1" t="s">
        <v>53</v>
      </c>
      <c r="G862">
        <v>4753</v>
      </c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7" t="s">
        <v>34</v>
      </c>
      <c r="AG862" s="6">
        <v>0</v>
      </c>
      <c r="AH862" s="6">
        <v>0</v>
      </c>
      <c r="AW862" s="4">
        <v>0</v>
      </c>
    </row>
    <row r="863" spans="1:49" x14ac:dyDescent="0.2">
      <c r="A863" s="1">
        <v>43864</v>
      </c>
      <c r="B863">
        <f t="shared" si="121"/>
        <v>-7.66</v>
      </c>
      <c r="C863" s="1" t="s">
        <v>57</v>
      </c>
      <c r="D863" s="1" t="s">
        <v>61</v>
      </c>
      <c r="E863" s="1" t="s">
        <v>69</v>
      </c>
      <c r="F863" s="1" t="s">
        <v>53</v>
      </c>
      <c r="G863">
        <v>4730</v>
      </c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7" t="s">
        <v>34</v>
      </c>
      <c r="AG863" s="6">
        <v>19</v>
      </c>
      <c r="AH863" s="6">
        <v>19</v>
      </c>
      <c r="AW863" s="4">
        <v>0</v>
      </c>
    </row>
    <row r="864" spans="1:49" x14ac:dyDescent="0.2">
      <c r="A864" s="1">
        <v>43863</v>
      </c>
      <c r="B864">
        <v>-5.6</v>
      </c>
      <c r="C864" s="1" t="s">
        <v>57</v>
      </c>
      <c r="D864" s="1" t="s">
        <v>61</v>
      </c>
      <c r="E864" s="1" t="s">
        <v>69</v>
      </c>
      <c r="F864" s="1" t="s">
        <v>53</v>
      </c>
      <c r="G864">
        <v>4733</v>
      </c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7" t="s">
        <v>34</v>
      </c>
      <c r="AG864" s="6">
        <v>1</v>
      </c>
      <c r="AH864" s="6">
        <v>1</v>
      </c>
      <c r="AW864" s="4">
        <v>1</v>
      </c>
    </row>
    <row r="865" spans="1:49" x14ac:dyDescent="0.2">
      <c r="A865" s="1">
        <v>43862</v>
      </c>
      <c r="B865">
        <f>B864</f>
        <v>-5.6</v>
      </c>
      <c r="C865" s="1" t="s">
        <v>57</v>
      </c>
      <c r="D865" s="1" t="s">
        <v>61</v>
      </c>
      <c r="E865" s="1" t="s">
        <v>69</v>
      </c>
      <c r="F865" s="1" t="s">
        <v>53</v>
      </c>
      <c r="G865">
        <v>4736</v>
      </c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7" t="s">
        <v>34</v>
      </c>
      <c r="AG865" s="6">
        <v>0</v>
      </c>
      <c r="AH865" s="6">
        <v>0</v>
      </c>
      <c r="AW865" s="4">
        <v>0</v>
      </c>
    </row>
    <row r="866" spans="1:49" x14ac:dyDescent="0.2">
      <c r="A866" s="1">
        <v>43861</v>
      </c>
      <c r="B866">
        <f t="shared" ref="B866:B867" si="122">B865</f>
        <v>-5.6</v>
      </c>
      <c r="C866" s="1" t="s">
        <v>57</v>
      </c>
      <c r="D866" s="1" t="s">
        <v>61</v>
      </c>
      <c r="E866" s="1" t="s">
        <v>69</v>
      </c>
      <c r="F866" s="1" t="s">
        <v>53</v>
      </c>
      <c r="G866">
        <v>4713</v>
      </c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7" t="s">
        <v>34</v>
      </c>
      <c r="AG866" s="6">
        <v>0</v>
      </c>
      <c r="AH866" s="6">
        <v>0</v>
      </c>
      <c r="AW866" s="4">
        <v>0</v>
      </c>
    </row>
    <row r="867" spans="1:49" x14ac:dyDescent="0.2">
      <c r="A867" s="1">
        <v>43860</v>
      </c>
      <c r="B867">
        <f t="shared" si="122"/>
        <v>-5.6</v>
      </c>
      <c r="C867" s="1" t="s">
        <v>57</v>
      </c>
      <c r="D867" s="1" t="s">
        <v>61</v>
      </c>
      <c r="E867" s="1" t="s">
        <v>69</v>
      </c>
      <c r="F867" s="1" t="s">
        <v>53</v>
      </c>
      <c r="G867">
        <v>4718</v>
      </c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7" t="s">
        <v>34</v>
      </c>
      <c r="AG867" s="6">
        <v>1</v>
      </c>
      <c r="AH867" s="6">
        <v>1</v>
      </c>
      <c r="AW86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Constantinou</dc:creator>
  <cp:lastModifiedBy>Microsoft Office User</cp:lastModifiedBy>
  <dcterms:created xsi:type="dcterms:W3CDTF">2015-06-05T18:19:34Z</dcterms:created>
  <dcterms:modified xsi:type="dcterms:W3CDTF">2023-07-26T21:12:56Z</dcterms:modified>
</cp:coreProperties>
</file>